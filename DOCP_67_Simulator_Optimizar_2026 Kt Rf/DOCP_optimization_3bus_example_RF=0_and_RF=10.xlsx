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67 2026\DOCP_67_Simulator_Optimizar_2026 Kt Rf - approach 2\"/>
    </mc:Choice>
  </mc:AlternateContent>
  <xr:revisionPtr revIDLastSave="0" documentId="8_{6593357F-7C78-417E-B297-F886E4458EE8}" xr6:coauthVersionLast="47" xr6:coauthVersionMax="47" xr10:uidLastSave="{00000000-0000-0000-0000-000000000000}"/>
  <bookViews>
    <workbookView xWindow="420" yWindow="930" windowWidth="25020" windowHeight="14115" activeTab="1" xr2:uid="{A2977F88-2306-084C-88E0-6AF9B986A493}"/>
  </bookViews>
  <sheets>
    <sheet name="RF=0 and 10" sheetId="7" r:id="rId1"/>
    <sheet name="RF=0" sheetId="3" r:id="rId2"/>
    <sheet name="RF=10" sheetId="5" r:id="rId3"/>
    <sheet name="Sheet2" sheetId="6" r:id="rId4"/>
  </sheets>
  <definedNames>
    <definedName name="alpha1" localSheetId="0">'RF=0 and 10'!$AC$2</definedName>
    <definedName name="alpha1" localSheetId="2">'RF=10'!$AC$2</definedName>
    <definedName name="alpha1">'RF=0'!$AC$2</definedName>
    <definedName name="alpha2" localSheetId="0">'RF=0 and 10'!$AC$3</definedName>
    <definedName name="alpha2" localSheetId="2">'RF=10'!$AC$3</definedName>
    <definedName name="alpha2">'RF=0'!$AC$3</definedName>
    <definedName name="pick1" localSheetId="0">'RF=0 and 10'!$AC$6</definedName>
    <definedName name="pick1" localSheetId="2">'RF=10'!$AC$6</definedName>
    <definedName name="pick1">'RF=0'!$AC$6</definedName>
    <definedName name="pick2" localSheetId="0">'RF=0 and 10'!$AC$7</definedName>
    <definedName name="pick2" localSheetId="2">'RF=10'!$AC$7</definedName>
    <definedName name="pick2">'RF=0'!$AC$7</definedName>
    <definedName name="pick3" localSheetId="0">'RF=0 and 10'!$AC$8</definedName>
    <definedName name="pick3" localSheetId="2">'RF=10'!$AC$8</definedName>
    <definedName name="pick3">'RF=0'!$AC$8</definedName>
    <definedName name="pick4" localSheetId="0">'RF=0 and 10'!$AC$9</definedName>
    <definedName name="pick4" localSheetId="2">'RF=10'!$AC$9</definedName>
    <definedName name="pick4">'RF=0'!$AC$9</definedName>
    <definedName name="pick5" localSheetId="0">'RF=0 and 10'!$AC$10</definedName>
    <definedName name="pick5" localSheetId="2">'RF=10'!$AC$10</definedName>
    <definedName name="pick5">'RF=0'!$AC$10</definedName>
    <definedName name="pick6" localSheetId="0">'RF=0 and 10'!$AC$11</definedName>
    <definedName name="pick6" localSheetId="2">'RF=10'!$AC$11</definedName>
    <definedName name="pick6">'RF=0'!$AC$11</definedName>
    <definedName name="solver_adj" localSheetId="1" hidden="1">'RF=0'!$Q$21:$Q$26</definedName>
    <definedName name="solver_adj" localSheetId="0" hidden="1">'RF=0 and 10'!$Q$21:$Q$26</definedName>
    <definedName name="solver_adj" localSheetId="2" hidden="1">'RF=10'!$Q$21:$Q$26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2</definedName>
    <definedName name="solver_drv" localSheetId="0" hidden="1">2</definedName>
    <definedName name="solver_drv" localSheetId="2" hidden="1">2</definedName>
    <definedName name="solver_eng" localSheetId="1" hidden="1">2</definedName>
    <definedName name="solver_eng" localSheetId="0" hidden="1">2</definedName>
    <definedName name="solver_eng" localSheetId="2" hidden="1">2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'RF=0'!$Q$21:$Q$26</definedName>
    <definedName name="solver_lhs1" localSheetId="0" hidden="1">'RF=0 and 10'!$Q$21:$Q$26</definedName>
    <definedName name="solver_lhs1" localSheetId="2" hidden="1">'RF=10'!$Q$21:$Q$26</definedName>
    <definedName name="solver_lhs2" localSheetId="1" hidden="1">'RF=0'!$Q$21:$Q$26</definedName>
    <definedName name="solver_lhs2" localSheetId="0" hidden="1">'RF=0 and 10'!$Q$21:$Q$26</definedName>
    <definedName name="solver_lhs2" localSheetId="2" hidden="1">'RF=10'!$Q$21:$Q$26</definedName>
    <definedName name="solver_lhs3" localSheetId="1" hidden="1">'RF=0'!$S$21:$S$32</definedName>
    <definedName name="solver_lhs3" localSheetId="0" hidden="1">'RF=0 and 10'!$S$21:$S$32</definedName>
    <definedName name="solver_lhs3" localSheetId="2" hidden="1">'RF=10'!$S$21:$S$32</definedName>
    <definedName name="solver_lin" localSheetId="1" hidden="1">1</definedName>
    <definedName name="solver_lin" localSheetId="0" hidden="1">1</definedName>
    <definedName name="solver_lin" localSheetId="2" hidden="1">1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3</definedName>
    <definedName name="solver_num" localSheetId="0" hidden="1">3</definedName>
    <definedName name="solver_num" localSheetId="2" hidden="1">3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'RF=0'!$U$27</definedName>
    <definedName name="solver_opt" localSheetId="0" hidden="1">'RF=0 and 10'!$U$27</definedName>
    <definedName name="solver_opt" localSheetId="2" hidden="1">'RF=10'!$U$27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2</definedName>
    <definedName name="solver_rbv" localSheetId="0" hidden="1">2</definedName>
    <definedName name="solver_rbv" localSheetId="2" hidden="1">2</definedName>
    <definedName name="solver_rel1" localSheetId="1" hidden="1">1</definedName>
    <definedName name="solver_rel1" localSheetId="0" hidden="1">1</definedName>
    <definedName name="solver_rel1" localSheetId="2" hidden="1">1</definedName>
    <definedName name="solver_rel2" localSheetId="1" hidden="1">3</definedName>
    <definedName name="solver_rel2" localSheetId="0" hidden="1">3</definedName>
    <definedName name="solver_rel2" localSheetId="2" hidden="1">3</definedName>
    <definedName name="solver_rel3" localSheetId="1" hidden="1">3</definedName>
    <definedName name="solver_rel3" localSheetId="0" hidden="1">3</definedName>
    <definedName name="solver_rel3" localSheetId="2" hidden="1">3</definedName>
    <definedName name="solver_rhs1" localSheetId="1" hidden="1">1.1</definedName>
    <definedName name="solver_rhs1" localSheetId="0" hidden="1">1.1</definedName>
    <definedName name="solver_rhs1" localSheetId="2" hidden="1">1.1</definedName>
    <definedName name="solver_rhs2" localSheetId="1" hidden="1">0.1</definedName>
    <definedName name="solver_rhs2" localSheetId="0" hidden="1">0.1</definedName>
    <definedName name="solver_rhs2" localSheetId="2" hidden="1">0.1</definedName>
    <definedName name="solver_rhs3" localSheetId="1" hidden="1">0.2</definedName>
    <definedName name="solver_rhs3" localSheetId="0" hidden="1">0.2</definedName>
    <definedName name="solver_rhs3" localSheetId="2" hidden="1">0.2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2</definedName>
    <definedName name="solver_scl" localSheetId="0" hidden="1">2</definedName>
    <definedName name="solver_scl" localSheetId="2" hidden="1">2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2</definedName>
    <definedName name="solver_typ" localSheetId="0" hidden="1">2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2</definedName>
    <definedName name="solver_ver" localSheetId="0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7" l="1"/>
  <c r="U25" i="7"/>
  <c r="U24" i="7"/>
  <c r="U23" i="7"/>
  <c r="U22" i="7"/>
  <c r="U21" i="7"/>
  <c r="U26" i="5"/>
  <c r="U25" i="5"/>
  <c r="U24" i="5"/>
  <c r="U23" i="5"/>
  <c r="U22" i="5"/>
  <c r="U21" i="5"/>
  <c r="U21" i="3"/>
  <c r="U26" i="3"/>
  <c r="U25" i="3"/>
  <c r="U24" i="3"/>
  <c r="U23" i="3"/>
  <c r="U22" i="3"/>
  <c r="Q85" i="5"/>
  <c r="O85" i="5"/>
  <c r="N85" i="5"/>
  <c r="R84" i="5"/>
  <c r="AA83" i="5"/>
  <c r="Y83" i="5"/>
  <c r="X83" i="5"/>
  <c r="W83" i="5"/>
  <c r="K83" i="5"/>
  <c r="Z82" i="5"/>
  <c r="R82" i="5"/>
  <c r="Q82" i="5"/>
  <c r="P82" i="5"/>
  <c r="O82" i="5"/>
  <c r="U81" i="5"/>
  <c r="S81" i="5"/>
  <c r="R81" i="5"/>
  <c r="V80" i="5"/>
  <c r="N80" i="5"/>
  <c r="L80" i="5"/>
  <c r="K80" i="5"/>
  <c r="AA78" i="5"/>
  <c r="AA85" i="5" s="1"/>
  <c r="Z78" i="5"/>
  <c r="Z85" i="5" s="1"/>
  <c r="Y78" i="5"/>
  <c r="Y85" i="5" s="1"/>
  <c r="X78" i="5"/>
  <c r="X85" i="5" s="1"/>
  <c r="W78" i="5"/>
  <c r="W85" i="5" s="1"/>
  <c r="V78" i="5"/>
  <c r="V85" i="5" s="1"/>
  <c r="U78" i="5"/>
  <c r="U85" i="5" s="1"/>
  <c r="T78" i="5"/>
  <c r="T85" i="5" s="1"/>
  <c r="S78" i="5"/>
  <c r="S85" i="5" s="1"/>
  <c r="R78" i="5"/>
  <c r="R85" i="5" s="1"/>
  <c r="Q78" i="5"/>
  <c r="P78" i="5"/>
  <c r="P85" i="5" s="1"/>
  <c r="O78" i="5"/>
  <c r="N78" i="5"/>
  <c r="M78" i="5"/>
  <c r="M85" i="5" s="1"/>
  <c r="L78" i="5"/>
  <c r="L85" i="5" s="1"/>
  <c r="K78" i="5"/>
  <c r="K85" i="5" s="1"/>
  <c r="J78" i="5"/>
  <c r="I78" i="5"/>
  <c r="H78" i="5"/>
  <c r="G78" i="5"/>
  <c r="F78" i="5"/>
  <c r="E78" i="5"/>
  <c r="D78" i="5"/>
  <c r="C78" i="5"/>
  <c r="AA77" i="5"/>
  <c r="AA84" i="5" s="1"/>
  <c r="Z77" i="5"/>
  <c r="Z84" i="5" s="1"/>
  <c r="Y77" i="5"/>
  <c r="Y84" i="5" s="1"/>
  <c r="X77" i="5"/>
  <c r="X84" i="5" s="1"/>
  <c r="W77" i="5"/>
  <c r="W84" i="5" s="1"/>
  <c r="V77" i="5"/>
  <c r="V84" i="5" s="1"/>
  <c r="U77" i="5"/>
  <c r="U84" i="5" s="1"/>
  <c r="T77" i="5"/>
  <c r="T84" i="5" s="1"/>
  <c r="S77" i="5"/>
  <c r="S84" i="5" s="1"/>
  <c r="R77" i="5"/>
  <c r="Q77" i="5"/>
  <c r="Q84" i="5" s="1"/>
  <c r="P77" i="5"/>
  <c r="P84" i="5" s="1"/>
  <c r="O77" i="5"/>
  <c r="O84" i="5" s="1"/>
  <c r="N77" i="5"/>
  <c r="N84" i="5" s="1"/>
  <c r="M77" i="5"/>
  <c r="M84" i="5" s="1"/>
  <c r="L77" i="5"/>
  <c r="L84" i="5" s="1"/>
  <c r="K77" i="5"/>
  <c r="K84" i="5" s="1"/>
  <c r="J77" i="5"/>
  <c r="I77" i="5"/>
  <c r="H77" i="5"/>
  <c r="G77" i="5"/>
  <c r="F77" i="5"/>
  <c r="E77" i="5"/>
  <c r="D77" i="5"/>
  <c r="C77" i="5"/>
  <c r="AA76" i="5"/>
  <c r="Z76" i="5"/>
  <c r="Z83" i="5" s="1"/>
  <c r="Y76" i="5"/>
  <c r="X76" i="5"/>
  <c r="W76" i="5"/>
  <c r="V76" i="5"/>
  <c r="V83" i="5" s="1"/>
  <c r="U76" i="5"/>
  <c r="U83" i="5" s="1"/>
  <c r="T76" i="5"/>
  <c r="T83" i="5" s="1"/>
  <c r="S76" i="5"/>
  <c r="S83" i="5" s="1"/>
  <c r="R76" i="5"/>
  <c r="R83" i="5" s="1"/>
  <c r="Q76" i="5"/>
  <c r="Q83" i="5" s="1"/>
  <c r="P76" i="5"/>
  <c r="P83" i="5" s="1"/>
  <c r="O76" i="5"/>
  <c r="O83" i="5" s="1"/>
  <c r="N76" i="5"/>
  <c r="N83" i="5" s="1"/>
  <c r="M76" i="5"/>
  <c r="M83" i="5" s="1"/>
  <c r="L76" i="5"/>
  <c r="L83" i="5" s="1"/>
  <c r="K76" i="5"/>
  <c r="J76" i="5"/>
  <c r="I76" i="5"/>
  <c r="H76" i="5"/>
  <c r="G76" i="5"/>
  <c r="F76" i="5"/>
  <c r="E76" i="5"/>
  <c r="D76" i="5"/>
  <c r="C76" i="5"/>
  <c r="AA75" i="5"/>
  <c r="AA82" i="5" s="1"/>
  <c r="Z75" i="5"/>
  <c r="Y75" i="5"/>
  <c r="Y82" i="5" s="1"/>
  <c r="X75" i="5"/>
  <c r="X82" i="5" s="1"/>
  <c r="W75" i="5"/>
  <c r="W82" i="5" s="1"/>
  <c r="V75" i="5"/>
  <c r="V82" i="5" s="1"/>
  <c r="U75" i="5"/>
  <c r="U82" i="5" s="1"/>
  <c r="T75" i="5"/>
  <c r="T82" i="5" s="1"/>
  <c r="S75" i="5"/>
  <c r="S82" i="5" s="1"/>
  <c r="R75" i="5"/>
  <c r="Q75" i="5"/>
  <c r="P75" i="5"/>
  <c r="O75" i="5"/>
  <c r="N75" i="5"/>
  <c r="N82" i="5" s="1"/>
  <c r="M75" i="5"/>
  <c r="M82" i="5" s="1"/>
  <c r="L75" i="5"/>
  <c r="L82" i="5" s="1"/>
  <c r="K75" i="5"/>
  <c r="K82" i="5" s="1"/>
  <c r="J75" i="5"/>
  <c r="I75" i="5"/>
  <c r="H75" i="5"/>
  <c r="G75" i="5"/>
  <c r="F75" i="5"/>
  <c r="E75" i="5"/>
  <c r="D75" i="5"/>
  <c r="C75" i="5"/>
  <c r="AA74" i="5"/>
  <c r="AA81" i="5" s="1"/>
  <c r="Z74" i="5"/>
  <c r="Z81" i="5" s="1"/>
  <c r="Y74" i="5"/>
  <c r="Y81" i="5" s="1"/>
  <c r="X74" i="5"/>
  <c r="X81" i="5" s="1"/>
  <c r="W74" i="5"/>
  <c r="W81" i="5" s="1"/>
  <c r="V74" i="5"/>
  <c r="V81" i="5" s="1"/>
  <c r="U74" i="5"/>
  <c r="T74" i="5"/>
  <c r="T81" i="5" s="1"/>
  <c r="S74" i="5"/>
  <c r="R74" i="5"/>
  <c r="Q74" i="5"/>
  <c r="Q81" i="5" s="1"/>
  <c r="P74" i="5"/>
  <c r="P81" i="5" s="1"/>
  <c r="O74" i="5"/>
  <c r="O81" i="5" s="1"/>
  <c r="N74" i="5"/>
  <c r="N81" i="5" s="1"/>
  <c r="M74" i="5"/>
  <c r="M81" i="5" s="1"/>
  <c r="L74" i="5"/>
  <c r="L81" i="5" s="1"/>
  <c r="K74" i="5"/>
  <c r="K81" i="5" s="1"/>
  <c r="J74" i="5"/>
  <c r="I74" i="5"/>
  <c r="H74" i="5"/>
  <c r="G74" i="5"/>
  <c r="F74" i="5"/>
  <c r="E74" i="5"/>
  <c r="D74" i="5"/>
  <c r="C74" i="5"/>
  <c r="AA73" i="5"/>
  <c r="AA80" i="5" s="1"/>
  <c r="Z73" i="5"/>
  <c r="Z80" i="5" s="1"/>
  <c r="Y73" i="5"/>
  <c r="Y80" i="5" s="1"/>
  <c r="X73" i="5"/>
  <c r="X80" i="5" s="1"/>
  <c r="W73" i="5"/>
  <c r="W80" i="5" s="1"/>
  <c r="V73" i="5"/>
  <c r="U73" i="5"/>
  <c r="U80" i="5" s="1"/>
  <c r="T73" i="5"/>
  <c r="T80" i="5" s="1"/>
  <c r="S73" i="5"/>
  <c r="S80" i="5" s="1"/>
  <c r="R73" i="5"/>
  <c r="R80" i="5" s="1"/>
  <c r="Q73" i="5"/>
  <c r="Q80" i="5" s="1"/>
  <c r="P73" i="5"/>
  <c r="P80" i="5" s="1"/>
  <c r="O73" i="5"/>
  <c r="O80" i="5" s="1"/>
  <c r="N73" i="5"/>
  <c r="M73" i="5"/>
  <c r="M80" i="5" s="1"/>
  <c r="L73" i="5"/>
  <c r="K73" i="5"/>
  <c r="J73" i="5"/>
  <c r="I73" i="5"/>
  <c r="H73" i="5"/>
  <c r="G73" i="5"/>
  <c r="F73" i="5"/>
  <c r="E73" i="5"/>
  <c r="D73" i="5"/>
  <c r="C73" i="5"/>
  <c r="S21" i="5" a="1"/>
  <c r="S31" i="5" s="1"/>
  <c r="K27" i="3"/>
  <c r="M31" i="3"/>
  <c r="AA73" i="3"/>
  <c r="AA80" i="3" s="1"/>
  <c r="AA74" i="3"/>
  <c r="AA81" i="3" s="1"/>
  <c r="AA75" i="3"/>
  <c r="AA82" i="3" s="1"/>
  <c r="AA76" i="3"/>
  <c r="AA83" i="3" s="1"/>
  <c r="AA77" i="3"/>
  <c r="AA84" i="3" s="1"/>
  <c r="AA78" i="3"/>
  <c r="AA85" i="3" s="1"/>
  <c r="X81" i="3"/>
  <c r="Y81" i="3"/>
  <c r="X83" i="3"/>
  <c r="Y83" i="3"/>
  <c r="X84" i="3"/>
  <c r="Y84" i="3"/>
  <c r="N80" i="3"/>
  <c r="S80" i="3"/>
  <c r="T80" i="3"/>
  <c r="U80" i="3"/>
  <c r="M82" i="3"/>
  <c r="T82" i="3"/>
  <c r="U82" i="3"/>
  <c r="V82" i="3"/>
  <c r="M83" i="3"/>
  <c r="V84" i="3"/>
  <c r="S85" i="3"/>
  <c r="T85" i="3"/>
  <c r="C74" i="3"/>
  <c r="D74" i="3"/>
  <c r="E74" i="3"/>
  <c r="F74" i="3"/>
  <c r="G74" i="3"/>
  <c r="H74" i="3"/>
  <c r="I74" i="3"/>
  <c r="J74" i="3"/>
  <c r="K74" i="3"/>
  <c r="K81" i="3" s="1"/>
  <c r="L74" i="3"/>
  <c r="L81" i="3" s="1"/>
  <c r="M74" i="3"/>
  <c r="M81" i="3" s="1"/>
  <c r="N74" i="3"/>
  <c r="N81" i="3" s="1"/>
  <c r="S74" i="3"/>
  <c r="S81" i="3" s="1"/>
  <c r="T74" i="3"/>
  <c r="T81" i="3" s="1"/>
  <c r="U74" i="3"/>
  <c r="U81" i="3" s="1"/>
  <c r="V74" i="3"/>
  <c r="V81" i="3" s="1"/>
  <c r="X74" i="3"/>
  <c r="Y74" i="3"/>
  <c r="C75" i="3"/>
  <c r="D75" i="3"/>
  <c r="E75" i="3"/>
  <c r="F75" i="3"/>
  <c r="G75" i="3"/>
  <c r="H75" i="3"/>
  <c r="I75" i="3"/>
  <c r="J75" i="3"/>
  <c r="K75" i="3"/>
  <c r="K82" i="3" s="1"/>
  <c r="L75" i="3"/>
  <c r="L82" i="3" s="1"/>
  <c r="M75" i="3"/>
  <c r="N75" i="3"/>
  <c r="N82" i="3" s="1"/>
  <c r="S75" i="3"/>
  <c r="S82" i="3" s="1"/>
  <c r="T75" i="3"/>
  <c r="U75" i="3"/>
  <c r="V75" i="3"/>
  <c r="X75" i="3"/>
  <c r="X82" i="3" s="1"/>
  <c r="Y75" i="3"/>
  <c r="Y82" i="3" s="1"/>
  <c r="C76" i="3"/>
  <c r="D76" i="3"/>
  <c r="E76" i="3"/>
  <c r="F76" i="3"/>
  <c r="G76" i="3"/>
  <c r="H76" i="3"/>
  <c r="I76" i="3"/>
  <c r="J76" i="3"/>
  <c r="K76" i="3"/>
  <c r="K83" i="3" s="1"/>
  <c r="L76" i="3"/>
  <c r="L83" i="3" s="1"/>
  <c r="M76" i="3"/>
  <c r="N76" i="3"/>
  <c r="N83" i="3" s="1"/>
  <c r="S76" i="3"/>
  <c r="S83" i="3" s="1"/>
  <c r="T76" i="3"/>
  <c r="T83" i="3" s="1"/>
  <c r="U76" i="3"/>
  <c r="U83" i="3" s="1"/>
  <c r="V76" i="3"/>
  <c r="V83" i="3" s="1"/>
  <c r="X76" i="3"/>
  <c r="Y76" i="3"/>
  <c r="C77" i="3"/>
  <c r="D77" i="3"/>
  <c r="E77" i="3"/>
  <c r="F77" i="3"/>
  <c r="G77" i="3"/>
  <c r="H77" i="3"/>
  <c r="I77" i="3"/>
  <c r="J77" i="3"/>
  <c r="K77" i="3"/>
  <c r="K84" i="3" s="1"/>
  <c r="L77" i="3"/>
  <c r="L84" i="3" s="1"/>
  <c r="M77" i="3"/>
  <c r="M84" i="3" s="1"/>
  <c r="N77" i="3"/>
  <c r="N84" i="3" s="1"/>
  <c r="S77" i="3"/>
  <c r="S84" i="3" s="1"/>
  <c r="T77" i="3"/>
  <c r="T84" i="3" s="1"/>
  <c r="U77" i="3"/>
  <c r="U84" i="3" s="1"/>
  <c r="V77" i="3"/>
  <c r="X77" i="3"/>
  <c r="Y77" i="3"/>
  <c r="C78" i="3"/>
  <c r="D78" i="3"/>
  <c r="E78" i="3"/>
  <c r="F78" i="3"/>
  <c r="G78" i="3"/>
  <c r="H78" i="3"/>
  <c r="I78" i="3"/>
  <c r="J78" i="3"/>
  <c r="K78" i="3"/>
  <c r="K85" i="3" s="1"/>
  <c r="L78" i="3"/>
  <c r="L85" i="3" s="1"/>
  <c r="M78" i="3"/>
  <c r="M85" i="3" s="1"/>
  <c r="N78" i="3"/>
  <c r="N85" i="3" s="1"/>
  <c r="S78" i="3"/>
  <c r="T78" i="3"/>
  <c r="U78" i="3"/>
  <c r="U85" i="3" s="1"/>
  <c r="V78" i="3"/>
  <c r="V85" i="3" s="1"/>
  <c r="X78" i="3"/>
  <c r="X85" i="3" s="1"/>
  <c r="Y78" i="3"/>
  <c r="Y85" i="3" s="1"/>
  <c r="D73" i="3"/>
  <c r="E73" i="3"/>
  <c r="F73" i="3"/>
  <c r="G73" i="3"/>
  <c r="H73" i="3"/>
  <c r="I73" i="3"/>
  <c r="J73" i="3"/>
  <c r="K73" i="3"/>
  <c r="K80" i="3" s="1"/>
  <c r="L73" i="3"/>
  <c r="L80" i="3" s="1"/>
  <c r="M73" i="3"/>
  <c r="M80" i="3" s="1"/>
  <c r="N73" i="3"/>
  <c r="S73" i="3"/>
  <c r="T73" i="3"/>
  <c r="U73" i="3"/>
  <c r="V73" i="3"/>
  <c r="V80" i="3" s="1"/>
  <c r="X73" i="3"/>
  <c r="X80" i="3" s="1"/>
  <c r="Y73" i="3"/>
  <c r="Y80" i="3" s="1"/>
  <c r="C73" i="3"/>
  <c r="S21" i="7" l="1" a="1"/>
  <c r="S21" i="7" s="1"/>
  <c r="U27" i="7"/>
  <c r="U27" i="5"/>
  <c r="S28" i="5"/>
  <c r="S24" i="5"/>
  <c r="S21" i="5"/>
  <c r="S26" i="5"/>
  <c r="S27" i="5"/>
  <c r="S29" i="5"/>
  <c r="S22" i="5"/>
  <c r="S30" i="5"/>
  <c r="S32" i="5"/>
  <c r="S25" i="5"/>
  <c r="S23" i="5"/>
  <c r="R78" i="3"/>
  <c r="R85" i="3" s="1"/>
  <c r="Q78" i="3"/>
  <c r="Q85" i="3" s="1"/>
  <c r="P78" i="3"/>
  <c r="P85" i="3" s="1"/>
  <c r="O78" i="3"/>
  <c r="O85" i="3" s="1"/>
  <c r="P77" i="3"/>
  <c r="P84" i="3" s="1"/>
  <c r="R76" i="3"/>
  <c r="R83" i="3" s="1"/>
  <c r="Q76" i="3"/>
  <c r="Q83" i="3" s="1"/>
  <c r="P75" i="3"/>
  <c r="P82" i="3" s="1"/>
  <c r="O75" i="3"/>
  <c r="O82" i="3" s="1"/>
  <c r="R74" i="3"/>
  <c r="R81" i="3" s="1"/>
  <c r="Q74" i="3"/>
  <c r="Q81" i="3" s="1"/>
  <c r="P73" i="3"/>
  <c r="P80" i="3" s="1"/>
  <c r="O73" i="3"/>
  <c r="O80" i="3" s="1"/>
  <c r="O77" i="3" l="1"/>
  <c r="O84" i="3" s="1"/>
  <c r="O31" i="3"/>
  <c r="Q75" i="3"/>
  <c r="Q82" i="3" s="1"/>
  <c r="P29" i="3"/>
  <c r="R77" i="3"/>
  <c r="R84" i="3" s="1"/>
  <c r="L28" i="3"/>
  <c r="O76" i="3"/>
  <c r="O83" i="3" s="1"/>
  <c r="N29" i="3"/>
  <c r="Q77" i="3"/>
  <c r="Q84" i="3" s="1"/>
  <c r="M30" i="3"/>
  <c r="O74" i="3"/>
  <c r="O81" i="3" s="1"/>
  <c r="Q73" i="3"/>
  <c r="Q80" i="3" s="1"/>
  <c r="R75" i="3"/>
  <c r="R82" i="3" s="1"/>
  <c r="N28" i="3"/>
  <c r="P76" i="3"/>
  <c r="P83" i="3" s="1"/>
  <c r="O27" i="3"/>
  <c r="R73" i="3"/>
  <c r="R80" i="3" s="1"/>
  <c r="K30" i="3"/>
  <c r="P74" i="3"/>
  <c r="P81" i="3" s="1"/>
  <c r="Z77" i="3"/>
  <c r="Z84" i="3" s="1"/>
  <c r="W75" i="3"/>
  <c r="W82" i="3" s="1"/>
  <c r="W78" i="3"/>
  <c r="W85" i="3" s="1"/>
  <c r="Z74" i="3"/>
  <c r="Z81" i="3" s="1"/>
  <c r="W73" i="3"/>
  <c r="W80" i="3" s="1"/>
  <c r="W74" i="3"/>
  <c r="W81" i="3" s="1"/>
  <c r="Z76" i="3"/>
  <c r="Z83" i="3" s="1"/>
  <c r="W76" i="3"/>
  <c r="W83" i="3" s="1"/>
  <c r="Z78" i="3"/>
  <c r="Z85" i="3" s="1"/>
  <c r="M29" i="3" l="1"/>
  <c r="W77" i="3"/>
  <c r="W84" i="3" s="1"/>
  <c r="Z73" i="3"/>
  <c r="Z80" i="3" s="1"/>
  <c r="L27" i="3"/>
  <c r="P31" i="3"/>
  <c r="Z75" i="3"/>
  <c r="Z82" i="3" s="1"/>
  <c r="L25" i="3"/>
  <c r="P25" i="3"/>
  <c r="P23" i="3"/>
  <c r="N23" i="3"/>
  <c r="N21" i="3"/>
  <c r="L21" i="3"/>
  <c r="O26" i="3"/>
  <c r="M26" i="3"/>
  <c r="O22" i="3"/>
  <c r="M24" i="3"/>
  <c r="K24" i="3"/>
  <c r="K22" i="3"/>
  <c r="P32" i="3"/>
  <c r="L32" i="3"/>
  <c r="K21" i="3" l="1"/>
  <c r="O25" i="3"/>
  <c r="M23" i="3"/>
  <c r="U27" i="3" l="1"/>
  <c r="S21" i="3" a="1"/>
  <c r="S21" i="3" s="1"/>
  <c r="S26" i="3" l="1"/>
  <c r="S25" i="3"/>
  <c r="S32" i="3"/>
  <c r="S24" i="3"/>
  <c r="S28" i="3"/>
  <c r="S27" i="3"/>
  <c r="S31" i="3"/>
  <c r="S23" i="3"/>
  <c r="S30" i="3"/>
  <c r="S22" i="3"/>
  <c r="S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<sst xmlns="http://schemas.openxmlformats.org/spreadsheetml/2006/main" count="225" uniqueCount="51">
  <si>
    <t>B</t>
  </si>
  <si>
    <t>S</t>
  </si>
  <si>
    <t>D</t>
  </si>
  <si>
    <t>back</t>
  </si>
  <si>
    <t>line</t>
  </si>
  <si>
    <t>main</t>
  </si>
  <si>
    <t>from</t>
  </si>
  <si>
    <t>to</t>
  </si>
  <si>
    <t xml:space="preserve">from </t>
  </si>
  <si>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_0</t>
    </r>
  </si>
  <si>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_1</t>
    </r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</si>
  <si>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Calibri"/>
        <family val="2"/>
        <scheme val="minor"/>
      </rPr>
      <t>_type_2</t>
    </r>
  </si>
  <si>
    <r>
      <rPr>
        <sz val="12"/>
        <color theme="1"/>
        <rFont val="Symbol"/>
        <family val="1"/>
        <charset val="2"/>
      </rPr>
      <t>g</t>
    </r>
    <r>
      <rPr>
        <sz val="12"/>
        <color theme="1"/>
        <rFont val="Calibri"/>
        <family val="2"/>
        <scheme val="minor"/>
      </rPr>
      <t>_type_3</t>
    </r>
  </si>
  <si>
    <t>Icc,0 (kA)</t>
  </si>
  <si>
    <t>Icc,1 (kA)</t>
  </si>
  <si>
    <r>
      <rPr>
        <sz val="12"/>
        <color theme="1"/>
        <rFont val="Symbol"/>
        <family val="1"/>
        <charset val="2"/>
      </rPr>
      <t>q</t>
    </r>
    <r>
      <rPr>
        <sz val="12"/>
        <color theme="1"/>
        <rFont val="Calibri"/>
        <family val="2"/>
        <scheme val="minor"/>
      </rPr>
      <t>_cc,0</t>
    </r>
    <r>
      <rPr>
        <sz val="12"/>
        <color theme="1"/>
        <rFont val="Calibri"/>
        <family val="2"/>
        <charset val="2"/>
        <scheme val="minor"/>
      </rPr>
      <t xml:space="preserve"> (deg)</t>
    </r>
  </si>
  <si>
    <r>
      <rPr>
        <sz val="12"/>
        <color theme="1"/>
        <rFont val="Symbol"/>
        <family val="1"/>
        <charset val="2"/>
      </rPr>
      <t>q</t>
    </r>
    <r>
      <rPr>
        <sz val="12"/>
        <color theme="1"/>
        <rFont val="Calibri"/>
        <family val="2"/>
        <scheme val="minor"/>
      </rPr>
      <t>_cc,1</t>
    </r>
    <r>
      <rPr>
        <sz val="12"/>
        <color theme="1"/>
        <rFont val="Calibri"/>
        <family val="2"/>
        <charset val="2"/>
        <scheme val="minor"/>
      </rPr>
      <t xml:space="preserve"> (deg)</t>
    </r>
  </si>
  <si>
    <t>Near-end</t>
  </si>
  <si>
    <t>Far-end</t>
  </si>
  <si>
    <t>location</t>
  </si>
  <si>
    <t>Fault</t>
  </si>
  <si>
    <t>Td=</t>
  </si>
  <si>
    <t>Objective function</t>
  </si>
  <si>
    <t>Constraint type:</t>
  </si>
  <si>
    <t>relay</t>
  </si>
  <si>
    <t xml:space="preserve">relay </t>
  </si>
  <si>
    <t>=</t>
  </si>
  <si>
    <t>buses</t>
  </si>
  <si>
    <t>Pick-up settings</t>
  </si>
  <si>
    <t>IEC 60255 SI Curve</t>
  </si>
  <si>
    <t>a1=</t>
  </si>
  <si>
    <t>a2=</t>
  </si>
  <si>
    <t>T212_0=</t>
  </si>
  <si>
    <t>T111_0=</t>
  </si>
  <si>
    <t>T321_0=</t>
  </si>
  <si>
    <t>T531_0=</t>
  </si>
  <si>
    <t>T632_0=</t>
  </si>
  <si>
    <t>T422_0=</t>
  </si>
  <si>
    <t>Case</t>
  </si>
  <si>
    <t>relay q stuck in period 1 (out DZ)</t>
  </si>
  <si>
    <t>relay q stuck in period 1 (sesns a and out DZ)</t>
  </si>
  <si>
    <t>Type 3 j-i pair</t>
  </si>
  <si>
    <t>Type 2 j-i pair</t>
  </si>
  <si>
    <t>Type 1 p-q pair</t>
  </si>
  <si>
    <t>relay q stuck in p1 (loss of sensitivity)</t>
  </si>
  <si>
    <t>First Period</t>
  </si>
  <si>
    <t>Second Period</t>
  </si>
  <si>
    <t>q</t>
  </si>
  <si>
    <t>Type</t>
  </si>
  <si>
    <t>Rf=0</t>
  </si>
  <si>
    <t>Rf=10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</si>
</sst>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Calibri"/>
      <family val="2"/>
      <charset val="2"/>
      <scheme val="minor"/>
    </font>
    <font>
      <sz val="12"/>
      <color theme="9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10" borderId="0" xfId="0" applyFill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6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9" borderId="0" xfId="0" applyNumberFormat="1" applyFont="1" applyFill="1" applyAlignment="1">
      <alignment horizontal="center"/>
    </xf>
    <xf numFmtId="165" fontId="4" fillId="7" borderId="0" xfId="0" applyNumberFormat="1" applyFont="1" applyFill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4" fillId="6" borderId="3" xfId="0" applyNumberFormat="1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4" fillId="5" borderId="2" xfId="0" applyNumberFormat="1" applyFont="1" applyFill="1" applyBorder="1" applyAlignment="1">
      <alignment horizontal="center"/>
    </xf>
    <xf numFmtId="165" fontId="4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165" fontId="4" fillId="4" borderId="3" xfId="0" applyNumberFormat="1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/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2" borderId="4" xfId="0" applyNumberFormat="1" applyFill="1" applyBorder="1" applyAlignment="1">
      <alignment horizontal="center"/>
    </xf>
    <xf numFmtId="0" fontId="5" fillId="5" borderId="0" xfId="0" applyFont="1" applyFill="1"/>
    <xf numFmtId="0" fontId="0" fillId="5" borderId="0" xfId="0" applyFill="1" applyAlignment="1">
      <alignment horizontal="center"/>
    </xf>
    <xf numFmtId="0" fontId="7" fillId="5" borderId="1" xfId="0" applyFont="1" applyFill="1" applyBorder="1"/>
    <xf numFmtId="0" fontId="5" fillId="12" borderId="0" xfId="0" applyFont="1" applyFill="1"/>
    <xf numFmtId="0" fontId="0" fillId="12" borderId="0" xfId="0" applyFill="1" applyAlignment="1">
      <alignment horizontal="center"/>
    </xf>
    <xf numFmtId="0" fontId="7" fillId="12" borderId="1" xfId="0" applyFont="1" applyFill="1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553357</xdr:colOff>
      <xdr:row>35</xdr:row>
      <xdr:rowOff>199571</xdr:rowOff>
    </xdr:from>
    <xdr:to>
      <xdr:col>24</xdr:col>
      <xdr:colOff>195509</xdr:colOff>
      <xdr:row>45</xdr:row>
      <xdr:rowOff>155205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70D170DB-92B3-8C14-7754-7AB5D77EC57D}"/>
            </a:ext>
          </a:extLst>
        </xdr:cNvPr>
        <xdr:cNvGrpSpPr/>
      </xdr:nvGrpSpPr>
      <xdr:grpSpPr>
        <a:xfrm>
          <a:off x="8189232" y="7144884"/>
          <a:ext cx="4722152" cy="1940009"/>
          <a:chOff x="1999434" y="4061335"/>
          <a:chExt cx="4713081" cy="1951348"/>
        </a:xfrm>
      </xdr:grpSpPr>
      <xdr:sp macro="" textlink="">
        <xdr:nvSpPr>
          <xdr:cNvPr id="256" name="TextBox 6">
            <a:extLst>
              <a:ext uri="{FF2B5EF4-FFF2-40B4-BE49-F238E27FC236}">
                <a16:creationId xmlns:a16="http://schemas.microsoft.com/office/drawing/2014/main" id="{BEF827E0-B9C6-7A48-5F1B-D20560D9BB6A}"/>
              </a:ext>
            </a:extLst>
          </xdr:cNvPr>
          <xdr:cNvSpPr txBox="1"/>
        </xdr:nvSpPr>
        <xdr:spPr>
          <a:xfrm>
            <a:off x="4031121" y="420207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4</a:t>
            </a:r>
          </a:p>
        </xdr:txBody>
      </xdr:sp>
      <xdr:grpSp>
        <xdr:nvGrpSpPr>
          <xdr:cNvPr id="257" name="Group 256">
            <a:extLst>
              <a:ext uri="{FF2B5EF4-FFF2-40B4-BE49-F238E27FC236}">
                <a16:creationId xmlns:a16="http://schemas.microsoft.com/office/drawing/2014/main" id="{0876BDC6-D0F9-4CCE-181D-76187411E2FB}"/>
              </a:ext>
            </a:extLst>
          </xdr:cNvPr>
          <xdr:cNvGrpSpPr/>
        </xdr:nvGrpSpPr>
        <xdr:grpSpPr>
          <a:xfrm>
            <a:off x="1999434" y="4061335"/>
            <a:ext cx="4713081" cy="1951348"/>
            <a:chOff x="2236457" y="1705367"/>
            <a:chExt cx="4713081" cy="1951348"/>
          </a:xfrm>
        </xdr:grpSpPr>
        <xdr:grpSp>
          <xdr:nvGrpSpPr>
            <xdr:cNvPr id="263" name="Group 262">
              <a:extLst>
                <a:ext uri="{FF2B5EF4-FFF2-40B4-BE49-F238E27FC236}">
                  <a16:creationId xmlns:a16="http://schemas.microsoft.com/office/drawing/2014/main" id="{C66AF1C8-E558-A339-8EE4-6E8C614B3966}"/>
                </a:ext>
              </a:extLst>
            </xdr:cNvPr>
            <xdr:cNvGrpSpPr/>
          </xdr:nvGrpSpPr>
          <xdr:grpSpPr>
            <a:xfrm>
              <a:off x="2236457" y="1705367"/>
              <a:ext cx="4713081" cy="1951348"/>
              <a:chOff x="2236457" y="1705367"/>
              <a:chExt cx="4713081" cy="1951348"/>
            </a:xfrm>
          </xdr:grpSpPr>
          <xdr:grpSp>
            <xdr:nvGrpSpPr>
              <xdr:cNvPr id="267" name="Group 266">
                <a:extLst>
                  <a:ext uri="{FF2B5EF4-FFF2-40B4-BE49-F238E27FC236}">
                    <a16:creationId xmlns:a16="http://schemas.microsoft.com/office/drawing/2014/main" id="{60BE4C18-6378-E2AF-729D-5557D5DE23C9}"/>
                  </a:ext>
                </a:extLst>
              </xdr:cNvPr>
              <xdr:cNvGrpSpPr/>
            </xdr:nvGrpSpPr>
            <xdr:grpSpPr>
              <a:xfrm>
                <a:off x="2236457" y="1705367"/>
                <a:ext cx="4713081" cy="1951348"/>
                <a:chOff x="2236457" y="1705367"/>
                <a:chExt cx="4713081" cy="1951348"/>
              </a:xfrm>
            </xdr:grpSpPr>
            <xdr:sp macro="" textlink="">
              <xdr:nvSpPr>
                <xdr:cNvPr id="269" name="CuadroTexto 20">
                  <a:extLst>
                    <a:ext uri="{FF2B5EF4-FFF2-40B4-BE49-F238E27FC236}">
                      <a16:creationId xmlns:a16="http://schemas.microsoft.com/office/drawing/2014/main" id="{653FCAE9-91C7-4824-AAF7-EB405BB06C04}"/>
                    </a:ext>
                  </a:extLst>
                </xdr:cNvPr>
                <xdr:cNvSpPr txBox="1"/>
              </xdr:nvSpPr>
              <xdr:spPr>
                <a:xfrm>
                  <a:off x="2359006" y="2587573"/>
                  <a:ext cx="107514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1</a:t>
                  </a:r>
                </a:p>
              </xdr:txBody>
            </xdr:sp>
            <xdr:cxnSp macro="">
              <xdr:nvCxnSpPr>
                <xdr:cNvPr id="270" name="Conector recto 27">
                  <a:extLst>
                    <a:ext uri="{FF2B5EF4-FFF2-40B4-BE49-F238E27FC236}">
                      <a16:creationId xmlns:a16="http://schemas.microsoft.com/office/drawing/2014/main" id="{06B737FA-D2E6-45DA-6BA1-528BBF4F2614}"/>
                    </a:ext>
                  </a:extLst>
                </xdr:cNvPr>
                <xdr:cNvCxnSpPr/>
              </xdr:nvCxnSpPr>
              <xdr:spPr>
                <a:xfrm flipH="1" flipV="1">
                  <a:off x="5460455" y="2153218"/>
                  <a:ext cx="267810" cy="1976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71" name="Rectángulo 43">
                  <a:extLst>
                    <a:ext uri="{FF2B5EF4-FFF2-40B4-BE49-F238E27FC236}">
                      <a16:creationId xmlns:a16="http://schemas.microsoft.com/office/drawing/2014/main" id="{2329E2AC-7636-1B9C-0E9D-0DE358AC0783}"/>
                    </a:ext>
                  </a:extLst>
                </xdr:cNvPr>
                <xdr:cNvSpPr/>
              </xdr:nvSpPr>
              <xdr:spPr>
                <a:xfrm>
                  <a:off x="3234196" y="2004844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72" name="Rectángulo 48">
                  <a:extLst>
                    <a:ext uri="{FF2B5EF4-FFF2-40B4-BE49-F238E27FC236}">
                      <a16:creationId xmlns:a16="http://schemas.microsoft.com/office/drawing/2014/main" id="{E59A2886-D93F-DB04-4419-F1E0E3BEFFF9}"/>
                    </a:ext>
                  </a:extLst>
                </xdr:cNvPr>
                <xdr:cNvSpPr/>
              </xdr:nvSpPr>
              <xdr:spPr>
                <a:xfrm rot="10800000">
                  <a:off x="5728264" y="1988922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73" name="Agrupar 106">
                  <a:extLst>
                    <a:ext uri="{FF2B5EF4-FFF2-40B4-BE49-F238E27FC236}">
                      <a16:creationId xmlns:a16="http://schemas.microsoft.com/office/drawing/2014/main" id="{DE926A16-48DE-465A-DD4F-C3E5B672375F}"/>
                    </a:ext>
                  </a:extLst>
                </xdr:cNvPr>
                <xdr:cNvGrpSpPr/>
              </xdr:nvGrpSpPr>
              <xdr:grpSpPr>
                <a:xfrm>
                  <a:off x="2236457" y="2068323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38" name="Agrupar 51">
                    <a:extLst>
                      <a:ext uri="{FF2B5EF4-FFF2-40B4-BE49-F238E27FC236}">
                        <a16:creationId xmlns:a16="http://schemas.microsoft.com/office/drawing/2014/main" id="{02CD23E8-AAD0-5C4E-F552-9DC20B026B42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41" name="Elipse 24">
                      <a:extLst>
                        <a:ext uri="{FF2B5EF4-FFF2-40B4-BE49-F238E27FC236}">
                          <a16:creationId xmlns:a16="http://schemas.microsoft.com/office/drawing/2014/main" id="{34A5E21F-01A6-C759-EBC4-32F3BE2E7801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42" name="Agrupar 50">
                      <a:extLst>
                        <a:ext uri="{FF2B5EF4-FFF2-40B4-BE49-F238E27FC236}">
                          <a16:creationId xmlns:a16="http://schemas.microsoft.com/office/drawing/2014/main" id="{9FB89A90-67AA-1A31-3923-340E1EDF6246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43" name="Arco 25">
                        <a:extLst>
                          <a:ext uri="{FF2B5EF4-FFF2-40B4-BE49-F238E27FC236}">
                            <a16:creationId xmlns:a16="http://schemas.microsoft.com/office/drawing/2014/main" id="{A559A17A-DCAD-1BD6-549B-D59FB3F687FE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44" name="Arco 26">
                        <a:extLst>
                          <a:ext uri="{FF2B5EF4-FFF2-40B4-BE49-F238E27FC236}">
                            <a16:creationId xmlns:a16="http://schemas.microsoft.com/office/drawing/2014/main" id="{BC7AA1E4-7D77-13E1-6D12-299626C0457F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39" name="Conector recto 38">
                    <a:extLst>
                      <a:ext uri="{FF2B5EF4-FFF2-40B4-BE49-F238E27FC236}">
                        <a16:creationId xmlns:a16="http://schemas.microsoft.com/office/drawing/2014/main" id="{FAC7897D-E810-B5F8-30D3-9D0437D7D328}"/>
                      </a:ext>
                    </a:extLst>
                  </xdr:cNvPr>
                  <xdr:cNvCxnSpPr>
                    <a:cxnSpLocks/>
                    <a:stCxn id="341" idx="6"/>
                    <a:endCxn id="271" idx="1"/>
                  </xdr:cNvCxnSpPr>
                </xdr:nvCxnSpPr>
                <xdr:spPr>
                  <a:xfrm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0" name="Rectángulo 59">
                    <a:extLst>
                      <a:ext uri="{FF2B5EF4-FFF2-40B4-BE49-F238E27FC236}">
                        <a16:creationId xmlns:a16="http://schemas.microsoft.com/office/drawing/2014/main" id="{6D0B5387-9708-34F3-2D0D-BC0E33294718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74" name="Rectángulo 77">
                  <a:extLst>
                    <a:ext uri="{FF2B5EF4-FFF2-40B4-BE49-F238E27FC236}">
                      <a16:creationId xmlns:a16="http://schemas.microsoft.com/office/drawing/2014/main" id="{5A96AF1C-F199-4C31-02EC-A0166C15E3D0}"/>
                    </a:ext>
                  </a:extLst>
                </xdr:cNvPr>
                <xdr:cNvSpPr/>
              </xdr:nvSpPr>
              <xdr:spPr>
                <a:xfrm rot="5400000">
                  <a:off x="4488548" y="2757897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cxnSp macro="">
              <xdr:nvCxnSpPr>
                <xdr:cNvPr id="275" name="Conector recto 78">
                  <a:extLst>
                    <a:ext uri="{FF2B5EF4-FFF2-40B4-BE49-F238E27FC236}">
                      <a16:creationId xmlns:a16="http://schemas.microsoft.com/office/drawing/2014/main" id="{961617D5-A30B-008F-0FB9-C054010AED62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305368" y="2501320"/>
                  <a:ext cx="495107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6" name="Conector recto 79">
                  <a:extLst>
                    <a:ext uri="{FF2B5EF4-FFF2-40B4-BE49-F238E27FC236}">
                      <a16:creationId xmlns:a16="http://schemas.microsoft.com/office/drawing/2014/main" id="{F2E125E1-6969-0296-F9A4-C8F76459691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390084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7" name="Conector recto 93">
                  <a:extLst>
                    <a:ext uri="{FF2B5EF4-FFF2-40B4-BE49-F238E27FC236}">
                      <a16:creationId xmlns:a16="http://schemas.microsoft.com/office/drawing/2014/main" id="{3CA071A7-3D84-D3F9-F767-45A4B00BDC14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8" name="Conector recto 99">
                  <a:extLst>
                    <a:ext uri="{FF2B5EF4-FFF2-40B4-BE49-F238E27FC236}">
                      <a16:creationId xmlns:a16="http://schemas.microsoft.com/office/drawing/2014/main" id="{E85B9979-1FED-6710-989E-763E85CC4111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5273717" y="2491450"/>
                  <a:ext cx="457635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9" name="Conector recto 102">
                  <a:extLst>
                    <a:ext uri="{FF2B5EF4-FFF2-40B4-BE49-F238E27FC236}">
                      <a16:creationId xmlns:a16="http://schemas.microsoft.com/office/drawing/2014/main" id="{E43C7B1E-8B50-A5BE-7148-70D027603BFB}"/>
                    </a:ext>
                  </a:extLst>
                </xdr:cNvPr>
                <xdr:cNvCxnSpPr/>
              </xdr:nvCxnSpPr>
              <xdr:spPr>
                <a:xfrm flipV="1">
                  <a:off x="4525805" y="3123261"/>
                  <a:ext cx="1" cy="275805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80" name="Agrupar 107">
                  <a:extLst>
                    <a:ext uri="{FF2B5EF4-FFF2-40B4-BE49-F238E27FC236}">
                      <a16:creationId xmlns:a16="http://schemas.microsoft.com/office/drawing/2014/main" id="{563B7A64-7992-EDB8-F032-BCA8CF977AC6}"/>
                    </a:ext>
                  </a:extLst>
                </xdr:cNvPr>
                <xdr:cNvGrpSpPr/>
              </xdr:nvGrpSpPr>
              <xdr:grpSpPr>
                <a:xfrm rot="10800000">
                  <a:off x="5799435" y="2072727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31" name="Agrupar 108">
                    <a:extLst>
                      <a:ext uri="{FF2B5EF4-FFF2-40B4-BE49-F238E27FC236}">
                        <a16:creationId xmlns:a16="http://schemas.microsoft.com/office/drawing/2014/main" id="{7A35E9C6-9C97-2DBE-6357-50B4C5662294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34" name="Elipse 111">
                      <a:extLst>
                        <a:ext uri="{FF2B5EF4-FFF2-40B4-BE49-F238E27FC236}">
                          <a16:creationId xmlns:a16="http://schemas.microsoft.com/office/drawing/2014/main" id="{FF4D899B-9D0A-1AE1-B50A-E1D15F334A81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35" name="Agrupar 112">
                      <a:extLst>
                        <a:ext uri="{FF2B5EF4-FFF2-40B4-BE49-F238E27FC236}">
                          <a16:creationId xmlns:a16="http://schemas.microsoft.com/office/drawing/2014/main" id="{9EA22976-150C-63CA-5F7B-D190A7D7BFE8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36" name="Arco 113">
                        <a:extLst>
                          <a:ext uri="{FF2B5EF4-FFF2-40B4-BE49-F238E27FC236}">
                            <a16:creationId xmlns:a16="http://schemas.microsoft.com/office/drawing/2014/main" id="{7857CCB9-FD40-6BB5-21D9-C8362BF059D8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37" name="Arco 114">
                        <a:extLst>
                          <a:ext uri="{FF2B5EF4-FFF2-40B4-BE49-F238E27FC236}">
                            <a16:creationId xmlns:a16="http://schemas.microsoft.com/office/drawing/2014/main" id="{577025A8-24A5-0151-D3DD-AF5D98FCD8CA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32" name="Conector recto 109">
                    <a:extLst>
                      <a:ext uri="{FF2B5EF4-FFF2-40B4-BE49-F238E27FC236}">
                        <a16:creationId xmlns:a16="http://schemas.microsoft.com/office/drawing/2014/main" id="{DCEE58B4-2C1C-1ECA-ABA7-43C95F47BA3F}"/>
                      </a:ext>
                    </a:extLst>
                  </xdr:cNvPr>
                  <xdr:cNvCxnSpPr>
                    <a:cxnSpLocks/>
                    <a:stCxn id="334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33" name="Rectángulo 110">
                    <a:extLst>
                      <a:ext uri="{FF2B5EF4-FFF2-40B4-BE49-F238E27FC236}">
                        <a16:creationId xmlns:a16="http://schemas.microsoft.com/office/drawing/2014/main" id="{7C33223F-A2CE-81BB-2F96-BB83B5ED420B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1" name="Agrupar 115">
                  <a:extLst>
                    <a:ext uri="{FF2B5EF4-FFF2-40B4-BE49-F238E27FC236}">
                      <a16:creationId xmlns:a16="http://schemas.microsoft.com/office/drawing/2014/main" id="{B3AE3115-8554-FB39-738A-FF4E1B87AA83}"/>
                    </a:ext>
                  </a:extLst>
                </xdr:cNvPr>
                <xdr:cNvGrpSpPr/>
              </xdr:nvGrpSpPr>
              <xdr:grpSpPr>
                <a:xfrm rot="10800000">
                  <a:off x="4525805" y="3141416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324" name="Agrupar 116">
                    <a:extLst>
                      <a:ext uri="{FF2B5EF4-FFF2-40B4-BE49-F238E27FC236}">
                        <a16:creationId xmlns:a16="http://schemas.microsoft.com/office/drawing/2014/main" id="{5537E2FD-66EF-41B2-3536-DB24595BBE8C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327" name="Elipse 119">
                      <a:extLst>
                        <a:ext uri="{FF2B5EF4-FFF2-40B4-BE49-F238E27FC236}">
                          <a16:creationId xmlns:a16="http://schemas.microsoft.com/office/drawing/2014/main" id="{0A94A759-68CF-CBF0-3C45-2BD8B3F5F00D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328" name="Agrupar 120">
                      <a:extLst>
                        <a:ext uri="{FF2B5EF4-FFF2-40B4-BE49-F238E27FC236}">
                          <a16:creationId xmlns:a16="http://schemas.microsoft.com/office/drawing/2014/main" id="{CDE0A7E0-E3E8-6B11-709E-F993C3722B71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329" name="Arco 121">
                        <a:extLst>
                          <a:ext uri="{FF2B5EF4-FFF2-40B4-BE49-F238E27FC236}">
                            <a16:creationId xmlns:a16="http://schemas.microsoft.com/office/drawing/2014/main" id="{B8F3B1A7-7014-B2C6-40EC-9066D4ECEABF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330" name="Arco 122">
                        <a:extLst>
                          <a:ext uri="{FF2B5EF4-FFF2-40B4-BE49-F238E27FC236}">
                            <a16:creationId xmlns:a16="http://schemas.microsoft.com/office/drawing/2014/main" id="{21AC09A7-4468-2916-2F9B-DDDA9229D94E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325" name="Conector recto 117">
                    <a:extLst>
                      <a:ext uri="{FF2B5EF4-FFF2-40B4-BE49-F238E27FC236}">
                        <a16:creationId xmlns:a16="http://schemas.microsoft.com/office/drawing/2014/main" id="{1C62979D-5AD1-66CF-4F75-1A39662D014B}"/>
                      </a:ext>
                    </a:extLst>
                  </xdr:cNvPr>
                  <xdr:cNvCxnSpPr>
                    <a:cxnSpLocks/>
                    <a:stCxn id="327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26" name="Rectángulo 118">
                    <a:extLst>
                      <a:ext uri="{FF2B5EF4-FFF2-40B4-BE49-F238E27FC236}">
                        <a16:creationId xmlns:a16="http://schemas.microsoft.com/office/drawing/2014/main" id="{87A273E3-A2A0-6FDE-4E60-EE63B4F242D0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2" name="Agrupar 135">
                  <a:extLst>
                    <a:ext uri="{FF2B5EF4-FFF2-40B4-BE49-F238E27FC236}">
                      <a16:creationId xmlns:a16="http://schemas.microsoft.com/office/drawing/2014/main" id="{04B36783-8D0E-5B80-3305-15ACEC9955E9}"/>
                    </a:ext>
                  </a:extLst>
                </xdr:cNvPr>
                <xdr:cNvGrpSpPr/>
              </xdr:nvGrpSpPr>
              <xdr:grpSpPr>
                <a:xfrm rot="10800000">
                  <a:off x="3404904" y="1897840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21" name="Arco 129">
                    <a:extLst>
                      <a:ext uri="{FF2B5EF4-FFF2-40B4-BE49-F238E27FC236}">
                        <a16:creationId xmlns:a16="http://schemas.microsoft.com/office/drawing/2014/main" id="{0E70A050-3B60-90A3-2190-44C2400DA61A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2" name="Arco 133">
                    <a:extLst>
                      <a:ext uri="{FF2B5EF4-FFF2-40B4-BE49-F238E27FC236}">
                        <a16:creationId xmlns:a16="http://schemas.microsoft.com/office/drawing/2014/main" id="{5472733F-6296-E0BB-B541-E9468055DE63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3" name="Arco 134">
                    <a:extLst>
                      <a:ext uri="{FF2B5EF4-FFF2-40B4-BE49-F238E27FC236}">
                        <a16:creationId xmlns:a16="http://schemas.microsoft.com/office/drawing/2014/main" id="{5AB290EE-6520-8624-1662-27C188545C71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83" name="Picture 282">
                  <a:extLst>
                    <a:ext uri="{FF2B5EF4-FFF2-40B4-BE49-F238E27FC236}">
                      <a16:creationId xmlns:a16="http://schemas.microsoft.com/office/drawing/2014/main" id="{19452931-8AEC-3603-51B4-F93AFD2F4446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3404223" y="1783466"/>
                  <a:ext cx="134938" cy="222250"/>
                </a:xfrm>
                <a:prstGeom prst="rect">
                  <a:avLst/>
                </a:prstGeom>
              </xdr:spPr>
            </xdr:pic>
            <xdr:grpSp>
              <xdr:nvGrpSpPr>
                <xdr:cNvPr id="284" name="Agrupar 164">
                  <a:extLst>
                    <a:ext uri="{FF2B5EF4-FFF2-40B4-BE49-F238E27FC236}">
                      <a16:creationId xmlns:a16="http://schemas.microsoft.com/office/drawing/2014/main" id="{EF8CCBB8-D0B8-932E-03F3-2600EAAF172F}"/>
                    </a:ext>
                  </a:extLst>
                </xdr:cNvPr>
                <xdr:cNvGrpSpPr/>
              </xdr:nvGrpSpPr>
              <xdr:grpSpPr>
                <a:xfrm rot="10800000">
                  <a:off x="5521185" y="1880268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8" name="Arco 165">
                    <a:extLst>
                      <a:ext uri="{FF2B5EF4-FFF2-40B4-BE49-F238E27FC236}">
                        <a16:creationId xmlns:a16="http://schemas.microsoft.com/office/drawing/2014/main" id="{3014D126-4112-1BDF-ACCA-A387B2E1E59B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9" name="Arco 166">
                    <a:extLst>
                      <a:ext uri="{FF2B5EF4-FFF2-40B4-BE49-F238E27FC236}">
                        <a16:creationId xmlns:a16="http://schemas.microsoft.com/office/drawing/2014/main" id="{6D8238B2-8E39-E220-778D-B9ED0B08C724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20" name="Arco 167">
                    <a:extLst>
                      <a:ext uri="{FF2B5EF4-FFF2-40B4-BE49-F238E27FC236}">
                        <a16:creationId xmlns:a16="http://schemas.microsoft.com/office/drawing/2014/main" id="{D4DC089B-64B0-A715-828B-42CF04A3495C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85" name="Picture 284">
                  <a:extLst>
                    <a:ext uri="{FF2B5EF4-FFF2-40B4-BE49-F238E27FC236}">
                      <a16:creationId xmlns:a16="http://schemas.microsoft.com/office/drawing/2014/main" id="{8BD1EB03-80AD-D927-7062-F02CFE77705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5511903" y="1774643"/>
                  <a:ext cx="152400" cy="222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86" name="Rectángulo 170">
                  <a:extLst>
                    <a:ext uri="{FF2B5EF4-FFF2-40B4-BE49-F238E27FC236}">
                      <a16:creationId xmlns:a16="http://schemas.microsoft.com/office/drawing/2014/main" id="{D74A2AF5-D443-7166-8013-0144F6CCFED5}"/>
                    </a:ext>
                  </a:extLst>
                </xdr:cNvPr>
                <xdr:cNvSpPr/>
              </xdr:nvSpPr>
              <xdr:spPr>
                <a:xfrm rot="16200000">
                  <a:off x="5336044" y="2434125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87" name="Agrupar 171">
                  <a:extLst>
                    <a:ext uri="{FF2B5EF4-FFF2-40B4-BE49-F238E27FC236}">
                      <a16:creationId xmlns:a16="http://schemas.microsoft.com/office/drawing/2014/main" id="{7DFCB101-C724-4D96-5DDE-96C268F78844}"/>
                    </a:ext>
                  </a:extLst>
                </xdr:cNvPr>
                <xdr:cNvGrpSpPr/>
              </xdr:nvGrpSpPr>
              <xdr:grpSpPr>
                <a:xfrm>
                  <a:off x="5526335" y="2418191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5" name="Arco 172">
                    <a:extLst>
                      <a:ext uri="{FF2B5EF4-FFF2-40B4-BE49-F238E27FC236}">
                        <a16:creationId xmlns:a16="http://schemas.microsoft.com/office/drawing/2014/main" id="{699ADB46-DD0E-38BE-01EE-7A228B87D96F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6" name="Arco 173">
                    <a:extLst>
                      <a:ext uri="{FF2B5EF4-FFF2-40B4-BE49-F238E27FC236}">
                        <a16:creationId xmlns:a16="http://schemas.microsoft.com/office/drawing/2014/main" id="{4B182119-BDA4-4966-2EEE-2E135FCAD5FE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7" name="Arco 174">
                    <a:extLst>
                      <a:ext uri="{FF2B5EF4-FFF2-40B4-BE49-F238E27FC236}">
                        <a16:creationId xmlns:a16="http://schemas.microsoft.com/office/drawing/2014/main" id="{BF5AFEB9-B73D-6425-9687-418170CDEA2C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88" name="Rectángulo 175">
                  <a:extLst>
                    <a:ext uri="{FF2B5EF4-FFF2-40B4-BE49-F238E27FC236}">
                      <a16:creationId xmlns:a16="http://schemas.microsoft.com/office/drawing/2014/main" id="{78D826A5-4D4A-8760-EE4B-987CE77C5981}"/>
                    </a:ext>
                  </a:extLst>
                </xdr:cNvPr>
                <xdr:cNvSpPr/>
              </xdr:nvSpPr>
              <xdr:spPr>
                <a:xfrm rot="16200000">
                  <a:off x="3591283" y="2451697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89" name="Agrupar 176">
                  <a:extLst>
                    <a:ext uri="{FF2B5EF4-FFF2-40B4-BE49-F238E27FC236}">
                      <a16:creationId xmlns:a16="http://schemas.microsoft.com/office/drawing/2014/main" id="{DD8ADB70-3F53-8553-0E22-92FFF8F7B2BD}"/>
                    </a:ext>
                  </a:extLst>
                </xdr:cNvPr>
                <xdr:cNvGrpSpPr/>
              </xdr:nvGrpSpPr>
              <xdr:grpSpPr>
                <a:xfrm>
                  <a:off x="3410054" y="2435763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312" name="Arco 177">
                    <a:extLst>
                      <a:ext uri="{FF2B5EF4-FFF2-40B4-BE49-F238E27FC236}">
                        <a16:creationId xmlns:a16="http://schemas.microsoft.com/office/drawing/2014/main" id="{B03C0244-2C91-0F17-E1C7-6F2A3A68944B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3" name="Arco 178">
                    <a:extLst>
                      <a:ext uri="{FF2B5EF4-FFF2-40B4-BE49-F238E27FC236}">
                        <a16:creationId xmlns:a16="http://schemas.microsoft.com/office/drawing/2014/main" id="{2E0762E5-9157-6C5F-45FC-873D7D2033B9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4" name="Arco 179">
                    <a:extLst>
                      <a:ext uri="{FF2B5EF4-FFF2-40B4-BE49-F238E27FC236}">
                        <a16:creationId xmlns:a16="http://schemas.microsoft.com/office/drawing/2014/main" id="{A8DA3D6D-D000-E42F-A724-B92C821A8789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90" name="Picture 289">
                  <a:extLst>
                    <a:ext uri="{FF2B5EF4-FFF2-40B4-BE49-F238E27FC236}">
                      <a16:creationId xmlns:a16="http://schemas.microsoft.com/office/drawing/2014/main" id="{64F35024-49AC-FB4D-486B-F9E6512F8A5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491786" y="2578803"/>
                  <a:ext cx="152400" cy="239713"/>
                </a:xfrm>
                <a:prstGeom prst="rect">
                  <a:avLst/>
                </a:prstGeom>
              </xdr:spPr>
            </xdr:pic>
            <xdr:pic>
              <xdr:nvPicPr>
                <xdr:cNvPr id="291" name="Picture 290">
                  <a:extLst>
                    <a:ext uri="{FF2B5EF4-FFF2-40B4-BE49-F238E27FC236}">
                      <a16:creationId xmlns:a16="http://schemas.microsoft.com/office/drawing/2014/main" id="{F2140799-BCC8-A695-ABA1-695C36384FB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3394666" y="2636021"/>
                  <a:ext cx="152400" cy="2397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2" name="Rectángulo 189">
                  <a:extLst>
                    <a:ext uri="{FF2B5EF4-FFF2-40B4-BE49-F238E27FC236}">
                      <a16:creationId xmlns:a16="http://schemas.microsoft.com/office/drawing/2014/main" id="{99C88C91-1B52-B2C2-8556-A25E64FD8046}"/>
                    </a:ext>
                  </a:extLst>
                </xdr:cNvPr>
                <xdr:cNvSpPr/>
              </xdr:nvSpPr>
              <xdr:spPr>
                <a:xfrm rot="10800000">
                  <a:off x="4631875" y="2691532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3" name="Arco 191">
                  <a:extLst>
                    <a:ext uri="{FF2B5EF4-FFF2-40B4-BE49-F238E27FC236}">
                      <a16:creationId xmlns:a16="http://schemas.microsoft.com/office/drawing/2014/main" id="{155E502E-4D45-76E0-2B05-09503F8BE05C}"/>
                    </a:ext>
                  </a:extLst>
                </xdr:cNvPr>
                <xdr:cNvSpPr/>
              </xdr:nvSpPr>
              <xdr:spPr>
                <a:xfrm rot="5400000" flipV="1">
                  <a:off x="4782343" y="2806551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294" name="Arco 192">
                  <a:extLst>
                    <a:ext uri="{FF2B5EF4-FFF2-40B4-BE49-F238E27FC236}">
                      <a16:creationId xmlns:a16="http://schemas.microsoft.com/office/drawing/2014/main" id="{B73B016B-6F18-3BEE-F697-EFC3232D30FC}"/>
                    </a:ext>
                  </a:extLst>
                </xdr:cNvPr>
                <xdr:cNvSpPr/>
              </xdr:nvSpPr>
              <xdr:spPr>
                <a:xfrm rot="5400000" flipV="1">
                  <a:off x="4782344" y="2764003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pic>
              <xdr:nvPicPr>
                <xdr:cNvPr id="296" name="Picture 295">
                  <a:extLst>
                    <a:ext uri="{FF2B5EF4-FFF2-40B4-BE49-F238E27FC236}">
                      <a16:creationId xmlns:a16="http://schemas.microsoft.com/office/drawing/2014/main" id="{C3473F12-ED94-D580-72FC-B80CEDC46935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851540" y="2791594"/>
                  <a:ext cx="168275" cy="241300"/>
                </a:xfrm>
                <a:prstGeom prst="rect">
                  <a:avLst/>
                </a:prstGeom>
              </xdr:spPr>
            </xdr:pic>
            <xdr:grpSp>
              <xdr:nvGrpSpPr>
                <xdr:cNvPr id="297" name="Agrupar 199">
                  <a:extLst>
                    <a:ext uri="{FF2B5EF4-FFF2-40B4-BE49-F238E27FC236}">
                      <a16:creationId xmlns:a16="http://schemas.microsoft.com/office/drawing/2014/main" id="{6A3AD40E-D3C4-2450-3BD2-9E8D4DABE721}"/>
                    </a:ext>
                  </a:extLst>
                </xdr:cNvPr>
                <xdr:cNvGrpSpPr/>
              </xdr:nvGrpSpPr>
              <xdr:grpSpPr>
                <a:xfrm rot="16200000">
                  <a:off x="4133223" y="2672431"/>
                  <a:ext cx="310789" cy="344237"/>
                  <a:chOff x="3613760" y="5263236"/>
                  <a:chExt cx="310789" cy="344237"/>
                </a:xfrm>
              </xdr:grpSpPr>
              <xdr:sp macro="" textlink="">
                <xdr:nvSpPr>
                  <xdr:cNvPr id="308" name="Rectángulo 200">
                    <a:extLst>
                      <a:ext uri="{FF2B5EF4-FFF2-40B4-BE49-F238E27FC236}">
                        <a16:creationId xmlns:a16="http://schemas.microsoft.com/office/drawing/2014/main" id="{F79DABE9-F046-1888-995A-66E11AD955E9}"/>
                      </a:ext>
                    </a:extLst>
                  </xdr:cNvPr>
                  <xdr:cNvSpPr/>
                </xdr:nvSpPr>
                <xdr:spPr>
                  <a:xfrm rot="5400000">
                    <a:off x="3806699" y="5480832"/>
                    <a:ext cx="124994" cy="110707"/>
                  </a:xfrm>
                  <a:prstGeom prst="rect">
                    <a:avLst/>
                  </a:prstGeom>
                  <a:solidFill>
                    <a:schemeClr val="tx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09" name="Arco 201">
                    <a:extLst>
                      <a:ext uri="{FF2B5EF4-FFF2-40B4-BE49-F238E27FC236}">
                        <a16:creationId xmlns:a16="http://schemas.microsoft.com/office/drawing/2014/main" id="{84E0A124-93AE-10EA-98F4-DB66A13ECEE2}"/>
                      </a:ext>
                    </a:extLst>
                  </xdr:cNvPr>
                  <xdr:cNvSpPr/>
                </xdr:nvSpPr>
                <xdr:spPr>
                  <a:xfrm flipV="1">
                    <a:off x="3698855" y="5263238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0" name="Arco 202">
                    <a:extLst>
                      <a:ext uri="{FF2B5EF4-FFF2-40B4-BE49-F238E27FC236}">
                        <a16:creationId xmlns:a16="http://schemas.microsoft.com/office/drawing/2014/main" id="{71049C61-3F19-7FFD-0CF3-07A3F58B7CDC}"/>
                      </a:ext>
                    </a:extLst>
                  </xdr:cNvPr>
                  <xdr:cNvSpPr/>
                </xdr:nvSpPr>
                <xdr:spPr>
                  <a:xfrm flipV="1">
                    <a:off x="3656307" y="5263237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311" name="Arco 203">
                    <a:extLst>
                      <a:ext uri="{FF2B5EF4-FFF2-40B4-BE49-F238E27FC236}">
                        <a16:creationId xmlns:a16="http://schemas.microsoft.com/office/drawing/2014/main" id="{994E1435-519B-093D-A625-147ECFE0339F}"/>
                      </a:ext>
                    </a:extLst>
                  </xdr:cNvPr>
                  <xdr:cNvSpPr/>
                </xdr:nvSpPr>
                <xdr:spPr>
                  <a:xfrm flipV="1">
                    <a:off x="3613760" y="5263236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298" name="Picture 297">
                  <a:extLst>
                    <a:ext uri="{FF2B5EF4-FFF2-40B4-BE49-F238E27FC236}">
                      <a16:creationId xmlns:a16="http://schemas.microsoft.com/office/drawing/2014/main" id="{58950369-0D1E-A8B4-F2D2-C4CB8F1D8C3A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088436" y="2780416"/>
                  <a:ext cx="152400" cy="2603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9" name="CuadroTexto 212">
                  <a:extLst>
                    <a:ext uri="{FF2B5EF4-FFF2-40B4-BE49-F238E27FC236}">
                      <a16:creationId xmlns:a16="http://schemas.microsoft.com/office/drawing/2014/main" id="{BC9FFC30-269B-DB4B-1356-29619F116B5A}"/>
                    </a:ext>
                  </a:extLst>
                </xdr:cNvPr>
                <xdr:cNvSpPr txBox="1"/>
              </xdr:nvSpPr>
              <xdr:spPr>
                <a:xfrm>
                  <a:off x="3774719" y="170536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1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300" name="Conector recto 224">
                  <a:extLst>
                    <a:ext uri="{FF2B5EF4-FFF2-40B4-BE49-F238E27FC236}">
                      <a16:creationId xmlns:a16="http://schemas.microsoft.com/office/drawing/2014/main" id="{E029A862-61E4-9DB3-4C85-49E74E21AA14}"/>
                    </a:ext>
                  </a:extLst>
                </xdr:cNvPr>
                <xdr:cNvCxnSpPr>
                  <a:cxnSpLocks/>
                  <a:stCxn id="301" idx="2"/>
                </xdr:cNvCxnSpPr>
              </xdr:nvCxnSpPr>
              <xdr:spPr>
                <a:xfrm flipH="1">
                  <a:off x="3313546" y="2153218"/>
                  <a:ext cx="2036202" cy="16678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01" name="Rectángulo 227">
                  <a:extLst>
                    <a:ext uri="{FF2B5EF4-FFF2-40B4-BE49-F238E27FC236}">
                      <a16:creationId xmlns:a16="http://schemas.microsoft.com/office/drawing/2014/main" id="{8CFC9900-6B88-8053-9157-3A3E8AE2DF43}"/>
                    </a:ext>
                  </a:extLst>
                </xdr:cNvPr>
                <xdr:cNvSpPr/>
              </xdr:nvSpPr>
              <xdr:spPr>
                <a:xfrm rot="5400000">
                  <a:off x="5342604" y="2097864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302" name="CuadroTexto 229">
                  <a:extLst>
                    <a:ext uri="{FF2B5EF4-FFF2-40B4-BE49-F238E27FC236}">
                      <a16:creationId xmlns:a16="http://schemas.microsoft.com/office/drawing/2014/main" id="{B7EFCB0E-015C-D140-1372-0DC9E0AF902F}"/>
                    </a:ext>
                  </a:extLst>
                </xdr:cNvPr>
                <xdr:cNvSpPr txBox="1"/>
              </xdr:nvSpPr>
              <xdr:spPr>
                <a:xfrm>
                  <a:off x="6305199" y="2621064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2</a:t>
                  </a:r>
                </a:p>
              </xdr:txBody>
            </xdr:sp>
            <xdr:sp macro="" textlink="">
              <xdr:nvSpPr>
                <xdr:cNvPr id="303" name="CuadroTexto 230">
                  <a:extLst>
                    <a:ext uri="{FF2B5EF4-FFF2-40B4-BE49-F238E27FC236}">
                      <a16:creationId xmlns:a16="http://schemas.microsoft.com/office/drawing/2014/main" id="{2261ACB0-3B32-9B5F-1C7C-471F9489E138}"/>
                    </a:ext>
                  </a:extLst>
                </xdr:cNvPr>
                <xdr:cNvSpPr txBox="1"/>
              </xdr:nvSpPr>
              <xdr:spPr>
                <a:xfrm>
                  <a:off x="5502024" y="3269869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3</a:t>
                  </a:r>
                </a:p>
              </xdr:txBody>
            </xdr:sp>
            <xdr:sp macro="" textlink="">
              <xdr:nvSpPr>
                <xdr:cNvPr id="304" name="CuadroTexto 234">
                  <a:extLst>
                    <a:ext uri="{FF2B5EF4-FFF2-40B4-BE49-F238E27FC236}">
                      <a16:creationId xmlns:a16="http://schemas.microsoft.com/office/drawing/2014/main" id="{619BD0EF-5408-5562-CB3F-E6094B1049B2}"/>
                    </a:ext>
                  </a:extLst>
                </xdr:cNvPr>
                <xdr:cNvSpPr txBox="1"/>
              </xdr:nvSpPr>
              <xdr:spPr>
                <a:xfrm rot="20858221">
                  <a:off x="4577720" y="229781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2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sp macro="" textlink="">
              <xdr:nvSpPr>
                <xdr:cNvPr id="305" name="CuadroTexto 235">
                  <a:extLst>
                    <a:ext uri="{FF2B5EF4-FFF2-40B4-BE49-F238E27FC236}">
                      <a16:creationId xmlns:a16="http://schemas.microsoft.com/office/drawing/2014/main" id="{69552645-A6A2-0F45-6642-10840E4C9ECB}"/>
                    </a:ext>
                  </a:extLst>
                </xdr:cNvPr>
                <xdr:cNvSpPr txBox="1"/>
              </xdr:nvSpPr>
              <xdr:spPr>
                <a:xfrm rot="748052">
                  <a:off x="3798052" y="2284378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3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306" name="Conector recto 93">
                  <a:extLst>
                    <a:ext uri="{FF2B5EF4-FFF2-40B4-BE49-F238E27FC236}">
                      <a16:creationId xmlns:a16="http://schemas.microsoft.com/office/drawing/2014/main" id="{E01FD605-941E-F1A9-5075-73513881FF2F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491450"/>
                  <a:ext cx="573421" cy="129614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07" name="Conector recto 93">
                  <a:extLst>
                    <a:ext uri="{FF2B5EF4-FFF2-40B4-BE49-F238E27FC236}">
                      <a16:creationId xmlns:a16="http://schemas.microsoft.com/office/drawing/2014/main" id="{2E2C0162-D2B5-E715-DE4E-800EDD80D30D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794375" y="2501990"/>
                  <a:ext cx="597420" cy="119182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68" name="Rectángulo 126">
                <a:extLst>
                  <a:ext uri="{FF2B5EF4-FFF2-40B4-BE49-F238E27FC236}">
                    <a16:creationId xmlns:a16="http://schemas.microsoft.com/office/drawing/2014/main" id="{F975112C-5F84-BDA0-1B94-7138C3463432}"/>
                  </a:ext>
                </a:extLst>
              </xdr:cNvPr>
              <xdr:cNvSpPr/>
            </xdr:nvSpPr>
            <xdr:spPr>
              <a:xfrm rot="5400000">
                <a:off x="3597843" y="2115436"/>
                <a:ext cx="124994" cy="110707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rgbClr val="000000"/>
                </a:solidFill>
              </a:ln>
              <a:effectLst/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 sz="6000"/>
              </a:p>
            </xdr:txBody>
          </xdr:sp>
        </xdr:grpSp>
        <xdr:sp macro="" textlink="">
          <xdr:nvSpPr>
            <xdr:cNvPr id="264" name="TextBox 9">
              <a:extLst>
                <a:ext uri="{FF2B5EF4-FFF2-40B4-BE49-F238E27FC236}">
                  <a16:creationId xmlns:a16="http://schemas.microsoft.com/office/drawing/2014/main" id="{40F5785C-D0D6-6CAF-6553-ECEB862141F3}"/>
                </a:ext>
              </a:extLst>
            </xdr:cNvPr>
            <xdr:cNvSpPr txBox="1"/>
          </xdr:nvSpPr>
          <xdr:spPr>
            <a:xfrm>
              <a:off x="2624826" y="1860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1</a:t>
              </a:r>
            </a:p>
          </xdr:txBody>
        </xdr:sp>
        <xdr:sp macro="" textlink="">
          <xdr:nvSpPr>
            <xdr:cNvPr id="265" name="TextBox 11">
              <a:extLst>
                <a:ext uri="{FF2B5EF4-FFF2-40B4-BE49-F238E27FC236}">
                  <a16:creationId xmlns:a16="http://schemas.microsoft.com/office/drawing/2014/main" id="{61564C78-B01F-BEAD-9001-34689ABA5854}"/>
                </a:ext>
              </a:extLst>
            </xdr:cNvPr>
            <xdr:cNvSpPr txBox="1"/>
          </xdr:nvSpPr>
          <xdr:spPr>
            <a:xfrm>
              <a:off x="5824193" y="1825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2</a:t>
              </a:r>
            </a:p>
          </xdr:txBody>
        </xdr:sp>
        <xdr:sp macro="" textlink="">
          <xdr:nvSpPr>
            <xdr:cNvPr id="266" name="TextBox 15">
              <a:extLst>
                <a:ext uri="{FF2B5EF4-FFF2-40B4-BE49-F238E27FC236}">
                  <a16:creationId xmlns:a16="http://schemas.microsoft.com/office/drawing/2014/main" id="{A21709A7-C3F8-5DCC-2110-76EDF94E8055}"/>
                </a:ext>
              </a:extLst>
            </xdr:cNvPr>
            <xdr:cNvSpPr txBox="1"/>
          </xdr:nvSpPr>
          <xdr:spPr>
            <a:xfrm>
              <a:off x="3776970" y="3115980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3</a:t>
              </a:r>
            </a:p>
          </xdr:txBody>
        </xdr:sp>
      </xdr:grpSp>
      <xdr:sp macro="" textlink="">
        <xdr:nvSpPr>
          <xdr:cNvPr id="258" name="Oval 257">
            <a:extLst>
              <a:ext uri="{FF2B5EF4-FFF2-40B4-BE49-F238E27FC236}">
                <a16:creationId xmlns:a16="http://schemas.microsoft.com/office/drawing/2014/main" id="{50100229-5253-F41D-ACCF-202B393D7B74}"/>
              </a:ext>
            </a:extLst>
          </xdr:cNvPr>
          <xdr:cNvSpPr/>
        </xdr:nvSpPr>
        <xdr:spPr>
          <a:xfrm>
            <a:off x="4223710" y="4464260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9" name="Oval 258">
            <a:extLst>
              <a:ext uri="{FF2B5EF4-FFF2-40B4-BE49-F238E27FC236}">
                <a16:creationId xmlns:a16="http://schemas.microsoft.com/office/drawing/2014/main" id="{E74FE6F0-6271-7E6F-D76C-4BD693DA8609}"/>
              </a:ext>
            </a:extLst>
          </xdr:cNvPr>
          <xdr:cNvSpPr/>
        </xdr:nvSpPr>
        <xdr:spPr>
          <a:xfrm>
            <a:off x="3790352" y="4874208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0" name="Oval 259">
            <a:extLst>
              <a:ext uri="{FF2B5EF4-FFF2-40B4-BE49-F238E27FC236}">
                <a16:creationId xmlns:a16="http://schemas.microsoft.com/office/drawing/2014/main" id="{2947562D-887C-9EA0-6AE7-A4D907466B8A}"/>
              </a:ext>
            </a:extLst>
          </xdr:cNvPr>
          <xdr:cNvSpPr/>
        </xdr:nvSpPr>
        <xdr:spPr>
          <a:xfrm>
            <a:off x="4766937" y="4859443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1" name="TextBox 132">
            <a:extLst>
              <a:ext uri="{FF2B5EF4-FFF2-40B4-BE49-F238E27FC236}">
                <a16:creationId xmlns:a16="http://schemas.microsoft.com/office/drawing/2014/main" id="{AFD3E83B-DD11-78C7-B805-12E89507F11D}"/>
              </a:ext>
            </a:extLst>
          </xdr:cNvPr>
          <xdr:cNvSpPr txBox="1"/>
        </xdr:nvSpPr>
        <xdr:spPr>
          <a:xfrm>
            <a:off x="4686559" y="492032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5</a:t>
            </a:r>
          </a:p>
        </xdr:txBody>
      </xdr:sp>
      <xdr:sp macro="" textlink="">
        <xdr:nvSpPr>
          <xdr:cNvPr id="262" name="TextBox 136">
            <a:extLst>
              <a:ext uri="{FF2B5EF4-FFF2-40B4-BE49-F238E27FC236}">
                <a16:creationId xmlns:a16="http://schemas.microsoft.com/office/drawing/2014/main" id="{497A7770-0096-D052-80ED-A0E87AF88C28}"/>
              </a:ext>
            </a:extLst>
          </xdr:cNvPr>
          <xdr:cNvSpPr txBox="1"/>
        </xdr:nvSpPr>
        <xdr:spPr>
          <a:xfrm>
            <a:off x="3443635" y="4950744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6</a:t>
            </a:r>
          </a:p>
        </xdr:txBody>
      </xdr:sp>
    </xdr:grpSp>
    <xdr:clientData/>
  </xdr:twoCellAnchor>
  <xdr:twoCellAnchor editAs="oneCell">
    <xdr:from>
      <xdr:col>23</xdr:col>
      <xdr:colOff>403</xdr:colOff>
      <xdr:row>18</xdr:row>
      <xdr:rowOff>78620</xdr:rowOff>
    </xdr:from>
    <xdr:to>
      <xdr:col>26</xdr:col>
      <xdr:colOff>373442</xdr:colOff>
      <xdr:row>27</xdr:row>
      <xdr:rowOff>34383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B23DA-D891-6CC5-4D2F-188B0F22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67986" y="3698120"/>
          <a:ext cx="2267455" cy="1765513"/>
        </a:xfrm>
        <a:prstGeom prst="rect">
          <a:avLst/>
        </a:prstGeom>
      </xdr:spPr>
    </xdr:pic>
    <xdr:clientData/>
  </xdr:twoCellAnchor>
  <xdr:twoCellAnchor editAs="oneCell">
    <xdr:from>
      <xdr:col>3</xdr:col>
      <xdr:colOff>148166</xdr:colOff>
      <xdr:row>32</xdr:row>
      <xdr:rowOff>179916</xdr:rowOff>
    </xdr:from>
    <xdr:to>
      <xdr:col>15</xdr:col>
      <xdr:colOff>253998</xdr:colOff>
      <xdr:row>53</xdr:row>
      <xdr:rowOff>151983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C9AB08-102E-424B-BB4A-D4F2FAFAE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5916" y="6614583"/>
          <a:ext cx="5990165" cy="4194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553357</xdr:colOff>
      <xdr:row>35</xdr:row>
      <xdr:rowOff>199571</xdr:rowOff>
    </xdr:from>
    <xdr:to>
      <xdr:col>24</xdr:col>
      <xdr:colOff>195509</xdr:colOff>
      <xdr:row>45</xdr:row>
      <xdr:rowOff>155205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7F4FE4F-14A4-D24C-B9E2-15F3B69653A3}"/>
            </a:ext>
          </a:extLst>
        </xdr:cNvPr>
        <xdr:cNvGrpSpPr/>
      </xdr:nvGrpSpPr>
      <xdr:grpSpPr>
        <a:xfrm>
          <a:off x="7570107" y="7144884"/>
          <a:ext cx="4722152" cy="1940009"/>
          <a:chOff x="1999434" y="4061335"/>
          <a:chExt cx="4713081" cy="1951348"/>
        </a:xfrm>
      </xdr:grpSpPr>
      <xdr:sp macro="" textlink="">
        <xdr:nvSpPr>
          <xdr:cNvPr id="3" name="TextBox 6">
            <a:extLst>
              <a:ext uri="{FF2B5EF4-FFF2-40B4-BE49-F238E27FC236}">
                <a16:creationId xmlns:a16="http://schemas.microsoft.com/office/drawing/2014/main" id="{B71AC5C7-E59E-92F5-30C8-75CD73C4DE10}"/>
              </a:ext>
            </a:extLst>
          </xdr:cNvPr>
          <xdr:cNvSpPr txBox="1"/>
        </xdr:nvSpPr>
        <xdr:spPr>
          <a:xfrm>
            <a:off x="4031121" y="420207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4</a:t>
            </a: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75035FDB-518D-A377-428C-311657048633}"/>
              </a:ext>
            </a:extLst>
          </xdr:cNvPr>
          <xdr:cNvGrpSpPr/>
        </xdr:nvGrpSpPr>
        <xdr:grpSpPr>
          <a:xfrm>
            <a:off x="1999434" y="4061335"/>
            <a:ext cx="4713081" cy="1951348"/>
            <a:chOff x="2236457" y="1705367"/>
            <a:chExt cx="4713081" cy="1951348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C8D9FD57-0C43-F4F0-B93F-44939B397445}"/>
                </a:ext>
              </a:extLst>
            </xdr:cNvPr>
            <xdr:cNvGrpSpPr/>
          </xdr:nvGrpSpPr>
          <xdr:grpSpPr>
            <a:xfrm>
              <a:off x="2236457" y="1705367"/>
              <a:ext cx="4713081" cy="1951348"/>
              <a:chOff x="2236457" y="1705367"/>
              <a:chExt cx="4713081" cy="1951348"/>
            </a:xfrm>
          </xdr:grpSpPr>
          <xdr:grpSp>
            <xdr:nvGrpSpPr>
              <xdr:cNvPr id="14" name="Group 13">
                <a:extLst>
                  <a:ext uri="{FF2B5EF4-FFF2-40B4-BE49-F238E27FC236}">
                    <a16:creationId xmlns:a16="http://schemas.microsoft.com/office/drawing/2014/main" id="{A81BEF2B-4B2E-B0F7-4787-6CE4A0F6780A}"/>
                  </a:ext>
                </a:extLst>
              </xdr:cNvPr>
              <xdr:cNvGrpSpPr/>
            </xdr:nvGrpSpPr>
            <xdr:grpSpPr>
              <a:xfrm>
                <a:off x="2236457" y="1705367"/>
                <a:ext cx="4713081" cy="1951348"/>
                <a:chOff x="2236457" y="1705367"/>
                <a:chExt cx="4713081" cy="1951348"/>
              </a:xfrm>
            </xdr:grpSpPr>
            <xdr:sp macro="" textlink="">
              <xdr:nvSpPr>
                <xdr:cNvPr id="16" name="CuadroTexto 20">
                  <a:extLst>
                    <a:ext uri="{FF2B5EF4-FFF2-40B4-BE49-F238E27FC236}">
                      <a16:creationId xmlns:a16="http://schemas.microsoft.com/office/drawing/2014/main" id="{A184D4ED-FAB8-B178-ECAC-824583CF90C6}"/>
                    </a:ext>
                  </a:extLst>
                </xdr:cNvPr>
                <xdr:cNvSpPr txBox="1"/>
              </xdr:nvSpPr>
              <xdr:spPr>
                <a:xfrm>
                  <a:off x="2359006" y="2587573"/>
                  <a:ext cx="107514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1</a:t>
                  </a:r>
                </a:p>
              </xdr:txBody>
            </xdr:sp>
            <xdr:cxnSp macro="">
              <xdr:nvCxnSpPr>
                <xdr:cNvPr id="17" name="Conector recto 27">
                  <a:extLst>
                    <a:ext uri="{FF2B5EF4-FFF2-40B4-BE49-F238E27FC236}">
                      <a16:creationId xmlns:a16="http://schemas.microsoft.com/office/drawing/2014/main" id="{FD3509C9-5A87-19EF-9ABC-31B9535A5BDC}"/>
                    </a:ext>
                  </a:extLst>
                </xdr:cNvPr>
                <xdr:cNvCxnSpPr/>
              </xdr:nvCxnSpPr>
              <xdr:spPr>
                <a:xfrm flipH="1" flipV="1">
                  <a:off x="5460455" y="2153218"/>
                  <a:ext cx="267810" cy="1976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8" name="Rectángulo 43">
                  <a:extLst>
                    <a:ext uri="{FF2B5EF4-FFF2-40B4-BE49-F238E27FC236}">
                      <a16:creationId xmlns:a16="http://schemas.microsoft.com/office/drawing/2014/main" id="{D35695A2-EB6F-9E3F-4AE1-AA19DC099556}"/>
                    </a:ext>
                  </a:extLst>
                </xdr:cNvPr>
                <xdr:cNvSpPr/>
              </xdr:nvSpPr>
              <xdr:spPr>
                <a:xfrm>
                  <a:off x="3234196" y="2004844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19" name="Rectángulo 48">
                  <a:extLst>
                    <a:ext uri="{FF2B5EF4-FFF2-40B4-BE49-F238E27FC236}">
                      <a16:creationId xmlns:a16="http://schemas.microsoft.com/office/drawing/2014/main" id="{3E15E370-7EE3-562A-F07F-FD7FCB50E496}"/>
                    </a:ext>
                  </a:extLst>
                </xdr:cNvPr>
                <xdr:cNvSpPr/>
              </xdr:nvSpPr>
              <xdr:spPr>
                <a:xfrm rot="10800000">
                  <a:off x="5728264" y="1988922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20" name="Agrupar 106">
                  <a:extLst>
                    <a:ext uri="{FF2B5EF4-FFF2-40B4-BE49-F238E27FC236}">
                      <a16:creationId xmlns:a16="http://schemas.microsoft.com/office/drawing/2014/main" id="{9A385ED0-CF4B-0D28-6138-61D7F93F29C4}"/>
                    </a:ext>
                  </a:extLst>
                </xdr:cNvPr>
                <xdr:cNvGrpSpPr/>
              </xdr:nvGrpSpPr>
              <xdr:grpSpPr>
                <a:xfrm>
                  <a:off x="2236457" y="2068323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84" name="Agrupar 51">
                    <a:extLst>
                      <a:ext uri="{FF2B5EF4-FFF2-40B4-BE49-F238E27FC236}">
                        <a16:creationId xmlns:a16="http://schemas.microsoft.com/office/drawing/2014/main" id="{1B5A8621-A464-226F-F34E-058603E7EDCF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87" name="Elipse 24">
                      <a:extLst>
                        <a:ext uri="{FF2B5EF4-FFF2-40B4-BE49-F238E27FC236}">
                          <a16:creationId xmlns:a16="http://schemas.microsoft.com/office/drawing/2014/main" id="{2F9EC86B-ED94-5458-093D-531EBF62B854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88" name="Agrupar 50">
                      <a:extLst>
                        <a:ext uri="{FF2B5EF4-FFF2-40B4-BE49-F238E27FC236}">
                          <a16:creationId xmlns:a16="http://schemas.microsoft.com/office/drawing/2014/main" id="{E5AD0BB9-346D-C581-E7F6-8B520718DBC6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89" name="Arco 25">
                        <a:extLst>
                          <a:ext uri="{FF2B5EF4-FFF2-40B4-BE49-F238E27FC236}">
                            <a16:creationId xmlns:a16="http://schemas.microsoft.com/office/drawing/2014/main" id="{F84C6588-0C00-0BC9-C038-7F2E279F05BF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90" name="Arco 26">
                        <a:extLst>
                          <a:ext uri="{FF2B5EF4-FFF2-40B4-BE49-F238E27FC236}">
                            <a16:creationId xmlns:a16="http://schemas.microsoft.com/office/drawing/2014/main" id="{2FAC2A95-3B76-FCAB-4B4A-C975D8C4B60E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85" name="Conector recto 38">
                    <a:extLst>
                      <a:ext uri="{FF2B5EF4-FFF2-40B4-BE49-F238E27FC236}">
                        <a16:creationId xmlns:a16="http://schemas.microsoft.com/office/drawing/2014/main" id="{1894DD85-CC1C-F390-1021-A3E79BDB9B71}"/>
                      </a:ext>
                    </a:extLst>
                  </xdr:cNvPr>
                  <xdr:cNvCxnSpPr>
                    <a:cxnSpLocks/>
                    <a:stCxn id="87" idx="6"/>
                    <a:endCxn id="18" idx="1"/>
                  </xdr:cNvCxnSpPr>
                </xdr:nvCxnSpPr>
                <xdr:spPr>
                  <a:xfrm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6" name="Rectángulo 59">
                    <a:extLst>
                      <a:ext uri="{FF2B5EF4-FFF2-40B4-BE49-F238E27FC236}">
                        <a16:creationId xmlns:a16="http://schemas.microsoft.com/office/drawing/2014/main" id="{98C9188B-5410-82C5-EF9D-33944E0F04BC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21" name="Rectángulo 77">
                  <a:extLst>
                    <a:ext uri="{FF2B5EF4-FFF2-40B4-BE49-F238E27FC236}">
                      <a16:creationId xmlns:a16="http://schemas.microsoft.com/office/drawing/2014/main" id="{607DB407-0442-051E-0089-F8B1F204FE88}"/>
                    </a:ext>
                  </a:extLst>
                </xdr:cNvPr>
                <xdr:cNvSpPr/>
              </xdr:nvSpPr>
              <xdr:spPr>
                <a:xfrm rot="5400000">
                  <a:off x="4488548" y="2757897"/>
                  <a:ext cx="71171" cy="651065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cxnSp macro="">
              <xdr:nvCxnSpPr>
                <xdr:cNvPr id="22" name="Conector recto 78">
                  <a:extLst>
                    <a:ext uri="{FF2B5EF4-FFF2-40B4-BE49-F238E27FC236}">
                      <a16:creationId xmlns:a16="http://schemas.microsoft.com/office/drawing/2014/main" id="{6B8820D1-8702-1067-70C9-6CADFE5BBF16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3305368" y="2501320"/>
                  <a:ext cx="495107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Conector recto 79">
                  <a:extLst>
                    <a:ext uri="{FF2B5EF4-FFF2-40B4-BE49-F238E27FC236}">
                      <a16:creationId xmlns:a16="http://schemas.microsoft.com/office/drawing/2014/main" id="{8BC0180B-D176-5281-435C-A08B0A220543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390084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4" name="Conector recto 93">
                  <a:extLst>
                    <a:ext uri="{FF2B5EF4-FFF2-40B4-BE49-F238E27FC236}">
                      <a16:creationId xmlns:a16="http://schemas.microsoft.com/office/drawing/2014/main" id="{9CD627A4-7BC1-46B9-0259-01E9A67B48D3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621064"/>
                  <a:ext cx="0" cy="426781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" name="Conector recto 99">
                  <a:extLst>
                    <a:ext uri="{FF2B5EF4-FFF2-40B4-BE49-F238E27FC236}">
                      <a16:creationId xmlns:a16="http://schemas.microsoft.com/office/drawing/2014/main" id="{6B4C5772-065F-DA36-7F16-6C01249F8BCA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>
                  <a:off x="5273717" y="2491450"/>
                  <a:ext cx="457635" cy="0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6" name="Conector recto 102">
                  <a:extLst>
                    <a:ext uri="{FF2B5EF4-FFF2-40B4-BE49-F238E27FC236}">
                      <a16:creationId xmlns:a16="http://schemas.microsoft.com/office/drawing/2014/main" id="{C38E7F91-17A1-2551-F05E-1D1E1F9534D4}"/>
                    </a:ext>
                  </a:extLst>
                </xdr:cNvPr>
                <xdr:cNvCxnSpPr/>
              </xdr:nvCxnSpPr>
              <xdr:spPr>
                <a:xfrm flipV="1">
                  <a:off x="4525805" y="3123261"/>
                  <a:ext cx="1" cy="275805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7" name="Agrupar 107">
                  <a:extLst>
                    <a:ext uri="{FF2B5EF4-FFF2-40B4-BE49-F238E27FC236}">
                      <a16:creationId xmlns:a16="http://schemas.microsoft.com/office/drawing/2014/main" id="{CB2B6BCB-1779-7467-3737-2E634FEF51DB}"/>
                    </a:ext>
                  </a:extLst>
                </xdr:cNvPr>
                <xdr:cNvGrpSpPr/>
              </xdr:nvGrpSpPr>
              <xdr:grpSpPr>
                <a:xfrm rot="10800000">
                  <a:off x="5799435" y="2072727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77" name="Agrupar 108">
                    <a:extLst>
                      <a:ext uri="{FF2B5EF4-FFF2-40B4-BE49-F238E27FC236}">
                        <a16:creationId xmlns:a16="http://schemas.microsoft.com/office/drawing/2014/main" id="{D2A2CE64-8B29-B490-E17C-E9ED751E4C52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80" name="Elipse 111">
                      <a:extLst>
                        <a:ext uri="{FF2B5EF4-FFF2-40B4-BE49-F238E27FC236}">
                          <a16:creationId xmlns:a16="http://schemas.microsoft.com/office/drawing/2014/main" id="{B08DBCBF-EF46-815A-ACED-97D98AEE8074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81" name="Agrupar 112">
                      <a:extLst>
                        <a:ext uri="{FF2B5EF4-FFF2-40B4-BE49-F238E27FC236}">
                          <a16:creationId xmlns:a16="http://schemas.microsoft.com/office/drawing/2014/main" id="{CBECD286-072A-C8CD-81DE-4155C2C354E9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82" name="Arco 113">
                        <a:extLst>
                          <a:ext uri="{FF2B5EF4-FFF2-40B4-BE49-F238E27FC236}">
                            <a16:creationId xmlns:a16="http://schemas.microsoft.com/office/drawing/2014/main" id="{86616071-EB4B-F9B4-C6D9-49E9E564B7C0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83" name="Arco 114">
                        <a:extLst>
                          <a:ext uri="{FF2B5EF4-FFF2-40B4-BE49-F238E27FC236}">
                            <a16:creationId xmlns:a16="http://schemas.microsoft.com/office/drawing/2014/main" id="{778CC1BF-1B62-EB47-0AF0-3EDD8B9D7BC3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78" name="Conector recto 109">
                    <a:extLst>
                      <a:ext uri="{FF2B5EF4-FFF2-40B4-BE49-F238E27FC236}">
                        <a16:creationId xmlns:a16="http://schemas.microsoft.com/office/drawing/2014/main" id="{AB40C232-3A74-DCCA-C99F-F4754B5E7012}"/>
                      </a:ext>
                    </a:extLst>
                  </xdr:cNvPr>
                  <xdr:cNvCxnSpPr>
                    <a:cxnSpLocks/>
                    <a:stCxn id="80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9" name="Rectángulo 110">
                    <a:extLst>
                      <a:ext uri="{FF2B5EF4-FFF2-40B4-BE49-F238E27FC236}">
                        <a16:creationId xmlns:a16="http://schemas.microsoft.com/office/drawing/2014/main" id="{25E449C5-0B0C-86D1-7495-9F8570C9A1D2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8" name="Agrupar 115">
                  <a:extLst>
                    <a:ext uri="{FF2B5EF4-FFF2-40B4-BE49-F238E27FC236}">
                      <a16:creationId xmlns:a16="http://schemas.microsoft.com/office/drawing/2014/main" id="{A41BE7E2-4D92-F615-57BA-2EE51B510F6C}"/>
                    </a:ext>
                  </a:extLst>
                </xdr:cNvPr>
                <xdr:cNvGrpSpPr/>
              </xdr:nvGrpSpPr>
              <xdr:grpSpPr>
                <a:xfrm rot="10800000">
                  <a:off x="4525805" y="3141416"/>
                  <a:ext cx="997739" cy="515299"/>
                  <a:chOff x="2317671" y="3947792"/>
                  <a:chExt cx="997739" cy="515299"/>
                </a:xfrm>
              </xdr:grpSpPr>
              <xdr:grpSp>
                <xdr:nvGrpSpPr>
                  <xdr:cNvPr id="70" name="Agrupar 116">
                    <a:extLst>
                      <a:ext uri="{FF2B5EF4-FFF2-40B4-BE49-F238E27FC236}">
                        <a16:creationId xmlns:a16="http://schemas.microsoft.com/office/drawing/2014/main" id="{20D7D3DF-083D-B393-6263-FC6CECAA35CD}"/>
                      </a:ext>
                    </a:extLst>
                  </xdr:cNvPr>
                  <xdr:cNvGrpSpPr/>
                </xdr:nvGrpSpPr>
                <xdr:grpSpPr>
                  <a:xfrm>
                    <a:off x="2317671" y="3947792"/>
                    <a:ext cx="508059" cy="515299"/>
                    <a:chOff x="513989" y="2970944"/>
                    <a:chExt cx="713232" cy="713206"/>
                  </a:xfrm>
                </xdr:grpSpPr>
                <xdr:sp macro="" textlink="">
                  <xdr:nvSpPr>
                    <xdr:cNvPr id="73" name="Elipse 119">
                      <a:extLst>
                        <a:ext uri="{FF2B5EF4-FFF2-40B4-BE49-F238E27FC236}">
                          <a16:creationId xmlns:a16="http://schemas.microsoft.com/office/drawing/2014/main" id="{FC0A45A8-3FCB-A201-5B50-C5EE8420AFEB}"/>
                        </a:ext>
                      </a:extLst>
                    </xdr:cNvPr>
                    <xdr:cNvSpPr/>
                  </xdr:nvSpPr>
                  <xdr:spPr>
                    <a:xfrm>
                      <a:off x="513989" y="2970944"/>
                      <a:ext cx="713232" cy="713206"/>
                    </a:xfrm>
                    <a:prstGeom prst="ellipse">
                      <a:avLst/>
                    </a:prstGeom>
                    <a:solidFill>
                      <a:srgbClr val="FFFF00"/>
                    </a:solidFill>
                    <a:ln w="12700" cmpd="sng">
                      <a:solidFill>
                        <a:schemeClr val="tx1"/>
                      </a:solidFill>
                    </a:ln>
                    <a:effectLst/>
                  </xdr:spPr>
                  <xdr:style>
                    <a:lnRef idx="1">
                      <a:schemeClr val="accent1"/>
                    </a:lnRef>
                    <a:fillRef idx="3">
                      <a:schemeClr val="accent1"/>
                    </a:fillRef>
                    <a:effectRef idx="2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s-ES"/>
                      </a:defPPr>
                      <a:lvl1pPr marL="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4572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s-ES" sz="5400"/>
                    </a:p>
                  </xdr:txBody>
                </xdr:sp>
                <xdr:grpSp>
                  <xdr:nvGrpSpPr>
                    <xdr:cNvPr id="74" name="Agrupar 120">
                      <a:extLst>
                        <a:ext uri="{FF2B5EF4-FFF2-40B4-BE49-F238E27FC236}">
                          <a16:creationId xmlns:a16="http://schemas.microsoft.com/office/drawing/2014/main" id="{44D21110-1254-0E8B-27CB-4179F4930FEA}"/>
                        </a:ext>
                      </a:extLst>
                    </xdr:cNvPr>
                    <xdr:cNvGrpSpPr/>
                  </xdr:nvGrpSpPr>
                  <xdr:grpSpPr>
                    <a:xfrm>
                      <a:off x="640043" y="3154486"/>
                      <a:ext cx="473632" cy="331761"/>
                      <a:chOff x="870606" y="4709671"/>
                      <a:chExt cx="473632" cy="331761"/>
                    </a:xfrm>
                  </xdr:grpSpPr>
                  <xdr:sp macro="" textlink="">
                    <xdr:nvSpPr>
                      <xdr:cNvPr id="75" name="Arco 121">
                        <a:extLst>
                          <a:ext uri="{FF2B5EF4-FFF2-40B4-BE49-F238E27FC236}">
                            <a16:creationId xmlns:a16="http://schemas.microsoft.com/office/drawing/2014/main" id="{3D62424D-48ED-27BF-9E96-E03E4EF58CF5}"/>
                          </a:ext>
                        </a:extLst>
                      </xdr:cNvPr>
                      <xdr:cNvSpPr/>
                    </xdr:nvSpPr>
                    <xdr:spPr>
                      <a:xfrm rot="10800000" flipV="1">
                        <a:off x="870606" y="4773149"/>
                        <a:ext cx="224651" cy="268283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  <xdr:sp macro="" textlink="">
                    <xdr:nvSpPr>
                      <xdr:cNvPr id="76" name="Arco 122">
                        <a:extLst>
                          <a:ext uri="{FF2B5EF4-FFF2-40B4-BE49-F238E27FC236}">
                            <a16:creationId xmlns:a16="http://schemas.microsoft.com/office/drawing/2014/main" id="{EF49F9CF-73DC-03E1-67B5-AA76F199D193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1095269" y="4709671"/>
                        <a:ext cx="248969" cy="331757"/>
                      </a:xfrm>
                      <a:prstGeom prst="arc">
                        <a:avLst>
                          <a:gd name="adj1" fmla="val 10746619"/>
                          <a:gd name="adj2" fmla="val 0"/>
                        </a:avLst>
                      </a:prstGeom>
                      <a:ln w="12700" cmpd="sng">
                        <a:solidFill>
                          <a:schemeClr val="tx1"/>
                        </a:solidFill>
                      </a:ln>
                      <a:effectLst/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wrap="square" rtlCol="0" anchor="ctr"/>
                      <a:lstStyle>
                        <a:defPPr>
                          <a:defRPr lang="es-ES"/>
                        </a:defPPr>
                        <a:lvl1pPr marL="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4572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pPr algn="ctr"/>
                        <a:endParaRPr lang="es-ES" sz="6000"/>
                      </a:p>
                    </xdr:txBody>
                  </xdr:sp>
                </xdr:grpSp>
              </xdr:grpSp>
              <xdr:cxnSp macro="">
                <xdr:nvCxnSpPr>
                  <xdr:cNvPr id="71" name="Conector recto 117">
                    <a:extLst>
                      <a:ext uri="{FF2B5EF4-FFF2-40B4-BE49-F238E27FC236}">
                        <a16:creationId xmlns:a16="http://schemas.microsoft.com/office/drawing/2014/main" id="{F2DD54AF-0E24-1396-245C-03183A95E58C}"/>
                      </a:ext>
                    </a:extLst>
                  </xdr:cNvPr>
                  <xdr:cNvCxnSpPr>
                    <a:cxnSpLocks/>
                    <a:stCxn id="73" idx="6"/>
                  </xdr:cNvCxnSpPr>
                </xdr:nvCxnSpPr>
                <xdr:spPr>
                  <a:xfrm rot="10800000" flipH="1" flipV="1">
                    <a:off x="2825730" y="4205442"/>
                    <a:ext cx="489680" cy="4404"/>
                  </a:xfrm>
                  <a:prstGeom prst="line">
                    <a:avLst/>
                  </a:prstGeom>
                  <a:ln w="6350" cmpd="sng">
                    <a:solidFill>
                      <a:schemeClr val="tx1"/>
                    </a:solidFill>
                    <a:headEnd type="none"/>
                    <a:tailEnd type="none"/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2" name="Rectángulo 118">
                    <a:extLst>
                      <a:ext uri="{FF2B5EF4-FFF2-40B4-BE49-F238E27FC236}">
                        <a16:creationId xmlns:a16="http://schemas.microsoft.com/office/drawing/2014/main" id="{A99FE5E8-C866-2838-6B0D-F92A470556A3}"/>
                      </a:ext>
                    </a:extLst>
                  </xdr:cNvPr>
                  <xdr:cNvSpPr/>
                </xdr:nvSpPr>
                <xdr:spPr>
                  <a:xfrm rot="5400000">
                    <a:off x="3020700" y="4080699"/>
                    <a:ext cx="76226" cy="256882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grpSp>
              <xdr:nvGrpSpPr>
                <xdr:cNvPr id="29" name="Agrupar 135">
                  <a:extLst>
                    <a:ext uri="{FF2B5EF4-FFF2-40B4-BE49-F238E27FC236}">
                      <a16:creationId xmlns:a16="http://schemas.microsoft.com/office/drawing/2014/main" id="{C51612C5-DB6D-5730-B6B1-A0DFD5C98F5C}"/>
                    </a:ext>
                  </a:extLst>
                </xdr:cNvPr>
                <xdr:cNvGrpSpPr/>
              </xdr:nvGrpSpPr>
              <xdr:grpSpPr>
                <a:xfrm rot="10800000">
                  <a:off x="3404904" y="1897840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7" name="Arco 129">
                    <a:extLst>
                      <a:ext uri="{FF2B5EF4-FFF2-40B4-BE49-F238E27FC236}">
                        <a16:creationId xmlns:a16="http://schemas.microsoft.com/office/drawing/2014/main" id="{5234E1F0-F2C3-C317-1398-CB3B647FF06A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8" name="Arco 133">
                    <a:extLst>
                      <a:ext uri="{FF2B5EF4-FFF2-40B4-BE49-F238E27FC236}">
                        <a16:creationId xmlns:a16="http://schemas.microsoft.com/office/drawing/2014/main" id="{DF583A9E-578B-0877-555E-C2B4D88D7FC9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9" name="Arco 134">
                    <a:extLst>
                      <a:ext uri="{FF2B5EF4-FFF2-40B4-BE49-F238E27FC236}">
                        <a16:creationId xmlns:a16="http://schemas.microsoft.com/office/drawing/2014/main" id="{6E9C1815-7EB3-E5BD-881E-6102DC08B666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0" name="Picture 29">
                  <a:extLst>
                    <a:ext uri="{FF2B5EF4-FFF2-40B4-BE49-F238E27FC236}">
                      <a16:creationId xmlns:a16="http://schemas.microsoft.com/office/drawing/2014/main" id="{9F91F993-8A2B-3083-A412-A31CDE1C801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3404223" y="1783466"/>
                  <a:ext cx="134938" cy="222250"/>
                </a:xfrm>
                <a:prstGeom prst="rect">
                  <a:avLst/>
                </a:prstGeom>
              </xdr:spPr>
            </xdr:pic>
            <xdr:grpSp>
              <xdr:nvGrpSpPr>
                <xdr:cNvPr id="31" name="Agrupar 164">
                  <a:extLst>
                    <a:ext uri="{FF2B5EF4-FFF2-40B4-BE49-F238E27FC236}">
                      <a16:creationId xmlns:a16="http://schemas.microsoft.com/office/drawing/2014/main" id="{1FE8A582-DC4E-056A-0D4B-DCFF6ECAA748}"/>
                    </a:ext>
                  </a:extLst>
                </xdr:cNvPr>
                <xdr:cNvGrpSpPr/>
              </xdr:nvGrpSpPr>
              <xdr:grpSpPr>
                <a:xfrm rot="10800000">
                  <a:off x="5521185" y="1880268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4" name="Arco 165">
                    <a:extLst>
                      <a:ext uri="{FF2B5EF4-FFF2-40B4-BE49-F238E27FC236}">
                        <a16:creationId xmlns:a16="http://schemas.microsoft.com/office/drawing/2014/main" id="{50E0A476-FFEB-A16B-E80D-667DE23EE6A6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5" name="Arco 166">
                    <a:extLst>
                      <a:ext uri="{FF2B5EF4-FFF2-40B4-BE49-F238E27FC236}">
                        <a16:creationId xmlns:a16="http://schemas.microsoft.com/office/drawing/2014/main" id="{17206943-964E-996F-2D3A-7ED1EA53306B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6" name="Arco 167">
                    <a:extLst>
                      <a:ext uri="{FF2B5EF4-FFF2-40B4-BE49-F238E27FC236}">
                        <a16:creationId xmlns:a16="http://schemas.microsoft.com/office/drawing/2014/main" id="{1D86EBF4-674B-2D99-D2E2-1F900B77D6BD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2" name="Picture 31">
                  <a:extLst>
                    <a:ext uri="{FF2B5EF4-FFF2-40B4-BE49-F238E27FC236}">
                      <a16:creationId xmlns:a16="http://schemas.microsoft.com/office/drawing/2014/main" id="{EC90F561-439F-B2CC-131E-11BEE5E8BB39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2"/>
                <a:stretch>
                  <a:fillRect/>
                </a:stretch>
              </xdr:blipFill>
              <xdr:spPr>
                <a:xfrm>
                  <a:off x="5511903" y="1774643"/>
                  <a:ext cx="152400" cy="222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3" name="Rectángulo 170">
                  <a:extLst>
                    <a:ext uri="{FF2B5EF4-FFF2-40B4-BE49-F238E27FC236}">
                      <a16:creationId xmlns:a16="http://schemas.microsoft.com/office/drawing/2014/main" id="{28671B3A-5866-34B6-D3E2-C914994F589E}"/>
                    </a:ext>
                  </a:extLst>
                </xdr:cNvPr>
                <xdr:cNvSpPr/>
              </xdr:nvSpPr>
              <xdr:spPr>
                <a:xfrm rot="16200000">
                  <a:off x="5336044" y="2434125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34" name="Agrupar 171">
                  <a:extLst>
                    <a:ext uri="{FF2B5EF4-FFF2-40B4-BE49-F238E27FC236}">
                      <a16:creationId xmlns:a16="http://schemas.microsoft.com/office/drawing/2014/main" id="{4B022A5D-7E55-B091-6685-93F282BFA897}"/>
                    </a:ext>
                  </a:extLst>
                </xdr:cNvPr>
                <xdr:cNvGrpSpPr/>
              </xdr:nvGrpSpPr>
              <xdr:grpSpPr>
                <a:xfrm>
                  <a:off x="5526335" y="2418191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61" name="Arco 172">
                    <a:extLst>
                      <a:ext uri="{FF2B5EF4-FFF2-40B4-BE49-F238E27FC236}">
                        <a16:creationId xmlns:a16="http://schemas.microsoft.com/office/drawing/2014/main" id="{AFA18130-5BB1-CA3E-DD20-77A888219DBE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2" name="Arco 173">
                    <a:extLst>
                      <a:ext uri="{FF2B5EF4-FFF2-40B4-BE49-F238E27FC236}">
                        <a16:creationId xmlns:a16="http://schemas.microsoft.com/office/drawing/2014/main" id="{E7E99ED0-794F-DE52-A051-92C9BE106D77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3" name="Arco 174">
                    <a:extLst>
                      <a:ext uri="{FF2B5EF4-FFF2-40B4-BE49-F238E27FC236}">
                        <a16:creationId xmlns:a16="http://schemas.microsoft.com/office/drawing/2014/main" id="{33AEC524-578F-71DF-8F03-6554176BC806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sp macro="" textlink="">
              <xdr:nvSpPr>
                <xdr:cNvPr id="35" name="Rectángulo 175">
                  <a:extLst>
                    <a:ext uri="{FF2B5EF4-FFF2-40B4-BE49-F238E27FC236}">
                      <a16:creationId xmlns:a16="http://schemas.microsoft.com/office/drawing/2014/main" id="{58141B1D-4059-B617-5556-E2A113A87E40}"/>
                    </a:ext>
                  </a:extLst>
                </xdr:cNvPr>
                <xdr:cNvSpPr/>
              </xdr:nvSpPr>
              <xdr:spPr>
                <a:xfrm rot="16200000">
                  <a:off x="3591283" y="2451697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grpSp>
              <xdr:nvGrpSpPr>
                <xdr:cNvPr id="36" name="Agrupar 176">
                  <a:extLst>
                    <a:ext uri="{FF2B5EF4-FFF2-40B4-BE49-F238E27FC236}">
                      <a16:creationId xmlns:a16="http://schemas.microsoft.com/office/drawing/2014/main" id="{0EF90627-E2DF-75E6-8315-A32B90B34D2F}"/>
                    </a:ext>
                  </a:extLst>
                </xdr:cNvPr>
                <xdr:cNvGrpSpPr/>
              </xdr:nvGrpSpPr>
              <xdr:grpSpPr>
                <a:xfrm>
                  <a:off x="3410054" y="2435763"/>
                  <a:ext cx="127642" cy="344237"/>
                  <a:chOff x="3631341" y="3342660"/>
                  <a:chExt cx="191464" cy="344237"/>
                </a:xfrm>
              </xdr:grpSpPr>
              <xdr:sp macro="" textlink="">
                <xdr:nvSpPr>
                  <xdr:cNvPr id="58" name="Arco 177">
                    <a:extLst>
                      <a:ext uri="{FF2B5EF4-FFF2-40B4-BE49-F238E27FC236}">
                        <a16:creationId xmlns:a16="http://schemas.microsoft.com/office/drawing/2014/main" id="{CF99C37E-EF1D-0F78-012D-E0412C0A4E21}"/>
                      </a:ext>
                    </a:extLst>
                  </xdr:cNvPr>
                  <xdr:cNvSpPr/>
                </xdr:nvSpPr>
                <xdr:spPr>
                  <a:xfrm rot="10800000" flipV="1">
                    <a:off x="3631341" y="3342660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9" name="Arco 178">
                    <a:extLst>
                      <a:ext uri="{FF2B5EF4-FFF2-40B4-BE49-F238E27FC236}">
                        <a16:creationId xmlns:a16="http://schemas.microsoft.com/office/drawing/2014/main" id="{A06BD5A2-463C-1412-FC73-013652862780}"/>
                      </a:ext>
                    </a:extLst>
                  </xdr:cNvPr>
                  <xdr:cNvSpPr/>
                </xdr:nvSpPr>
                <xdr:spPr>
                  <a:xfrm rot="10800000" flipV="1">
                    <a:off x="3695163" y="3342661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60" name="Arco 179">
                    <a:extLst>
                      <a:ext uri="{FF2B5EF4-FFF2-40B4-BE49-F238E27FC236}">
                        <a16:creationId xmlns:a16="http://schemas.microsoft.com/office/drawing/2014/main" id="{7EF145E1-769F-3C05-454B-5110B8AA4121}"/>
                      </a:ext>
                    </a:extLst>
                  </xdr:cNvPr>
                  <xdr:cNvSpPr/>
                </xdr:nvSpPr>
                <xdr:spPr>
                  <a:xfrm rot="10800000" flipV="1">
                    <a:off x="3758984" y="3342662"/>
                    <a:ext cx="63821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37" name="Picture 36">
                  <a:extLst>
                    <a:ext uri="{FF2B5EF4-FFF2-40B4-BE49-F238E27FC236}">
                      <a16:creationId xmlns:a16="http://schemas.microsoft.com/office/drawing/2014/main" id="{19691030-82BD-67E5-6946-A66FEFF82B15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5491786" y="2578803"/>
                  <a:ext cx="152400" cy="239713"/>
                </a:xfrm>
                <a:prstGeom prst="rect">
                  <a:avLst/>
                </a:prstGeom>
              </xdr:spPr>
            </xdr:pic>
            <xdr:pic>
              <xdr:nvPicPr>
                <xdr:cNvPr id="38" name="Picture 37">
                  <a:extLst>
                    <a:ext uri="{FF2B5EF4-FFF2-40B4-BE49-F238E27FC236}">
                      <a16:creationId xmlns:a16="http://schemas.microsoft.com/office/drawing/2014/main" id="{FEE2CEA3-8330-3C2D-C2F6-1CBCFE76433F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3394666" y="2636021"/>
                  <a:ext cx="152400" cy="2397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9" name="Rectángulo 189">
                  <a:extLst>
                    <a:ext uri="{FF2B5EF4-FFF2-40B4-BE49-F238E27FC236}">
                      <a16:creationId xmlns:a16="http://schemas.microsoft.com/office/drawing/2014/main" id="{DE20E841-0BBE-9939-7C82-A75E8ED87A1B}"/>
                    </a:ext>
                  </a:extLst>
                </xdr:cNvPr>
                <xdr:cNvSpPr/>
              </xdr:nvSpPr>
              <xdr:spPr>
                <a:xfrm rot="10800000">
                  <a:off x="4631875" y="2691532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0" name="Arco 191">
                  <a:extLst>
                    <a:ext uri="{FF2B5EF4-FFF2-40B4-BE49-F238E27FC236}">
                      <a16:creationId xmlns:a16="http://schemas.microsoft.com/office/drawing/2014/main" id="{3AD6820C-04C6-9595-6B7A-10EEA5E81CF9}"/>
                    </a:ext>
                  </a:extLst>
                </xdr:cNvPr>
                <xdr:cNvSpPr/>
              </xdr:nvSpPr>
              <xdr:spPr>
                <a:xfrm rot="5400000" flipV="1">
                  <a:off x="4782343" y="2806551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1" name="Arco 192">
                  <a:extLst>
                    <a:ext uri="{FF2B5EF4-FFF2-40B4-BE49-F238E27FC236}">
                      <a16:creationId xmlns:a16="http://schemas.microsoft.com/office/drawing/2014/main" id="{52C3F44E-65C9-9ED1-D090-CD793C3973B4}"/>
                    </a:ext>
                  </a:extLst>
                </xdr:cNvPr>
                <xdr:cNvSpPr/>
              </xdr:nvSpPr>
              <xdr:spPr>
                <a:xfrm rot="5400000" flipV="1">
                  <a:off x="4782344" y="2764003"/>
                  <a:ext cx="42547" cy="344235"/>
                </a:xfrm>
                <a:prstGeom prst="arc">
                  <a:avLst>
                    <a:gd name="adj1" fmla="val 10746619"/>
                    <a:gd name="adj2" fmla="val 0"/>
                  </a:avLst>
                </a:prstGeom>
                <a:ln w="12700" cmpd="sng">
                  <a:solidFill>
                    <a:schemeClr val="tx1"/>
                  </a:solidFill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pic>
              <xdr:nvPicPr>
                <xdr:cNvPr id="42" name="Picture 41">
                  <a:extLst>
                    <a:ext uri="{FF2B5EF4-FFF2-40B4-BE49-F238E27FC236}">
                      <a16:creationId xmlns:a16="http://schemas.microsoft.com/office/drawing/2014/main" id="{B07CE02F-6696-E260-B224-C375942C2474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851540" y="2791594"/>
                  <a:ext cx="168275" cy="241300"/>
                </a:xfrm>
                <a:prstGeom prst="rect">
                  <a:avLst/>
                </a:prstGeom>
              </xdr:spPr>
            </xdr:pic>
            <xdr:grpSp>
              <xdr:nvGrpSpPr>
                <xdr:cNvPr id="43" name="Agrupar 199">
                  <a:extLst>
                    <a:ext uri="{FF2B5EF4-FFF2-40B4-BE49-F238E27FC236}">
                      <a16:creationId xmlns:a16="http://schemas.microsoft.com/office/drawing/2014/main" id="{D6142A8E-E9B1-13C3-466C-4758AA183CF3}"/>
                    </a:ext>
                  </a:extLst>
                </xdr:cNvPr>
                <xdr:cNvGrpSpPr/>
              </xdr:nvGrpSpPr>
              <xdr:grpSpPr>
                <a:xfrm rot="16200000">
                  <a:off x="4133223" y="2672431"/>
                  <a:ext cx="310789" cy="344237"/>
                  <a:chOff x="3613760" y="5263236"/>
                  <a:chExt cx="310789" cy="344237"/>
                </a:xfrm>
              </xdr:grpSpPr>
              <xdr:sp macro="" textlink="">
                <xdr:nvSpPr>
                  <xdr:cNvPr id="54" name="Rectángulo 200">
                    <a:extLst>
                      <a:ext uri="{FF2B5EF4-FFF2-40B4-BE49-F238E27FC236}">
                        <a16:creationId xmlns:a16="http://schemas.microsoft.com/office/drawing/2014/main" id="{7A0AAE67-3C74-50C6-E89F-8B696B52E1D4}"/>
                      </a:ext>
                    </a:extLst>
                  </xdr:cNvPr>
                  <xdr:cNvSpPr/>
                </xdr:nvSpPr>
                <xdr:spPr>
                  <a:xfrm rot="5400000">
                    <a:off x="3806699" y="5480832"/>
                    <a:ext cx="124994" cy="110707"/>
                  </a:xfrm>
                  <a:prstGeom prst="rect">
                    <a:avLst/>
                  </a:prstGeom>
                  <a:solidFill>
                    <a:schemeClr val="tx1"/>
                  </a:solidFill>
                  <a:ln>
                    <a:solidFill>
                      <a:srgbClr val="000000"/>
                    </a:solidFill>
                  </a:ln>
                  <a:effectLst/>
                </xdr:spPr>
                <xdr:style>
                  <a:lnRef idx="1">
                    <a:schemeClr val="accent1"/>
                  </a:lnRef>
                  <a:fillRef idx="3">
                    <a:schemeClr val="accent1"/>
                  </a:fillRef>
                  <a:effectRef idx="2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5" name="Arco 201">
                    <a:extLst>
                      <a:ext uri="{FF2B5EF4-FFF2-40B4-BE49-F238E27FC236}">
                        <a16:creationId xmlns:a16="http://schemas.microsoft.com/office/drawing/2014/main" id="{07C7F0A1-D8D6-8681-AAB8-8E79FE268740}"/>
                      </a:ext>
                    </a:extLst>
                  </xdr:cNvPr>
                  <xdr:cNvSpPr/>
                </xdr:nvSpPr>
                <xdr:spPr>
                  <a:xfrm flipV="1">
                    <a:off x="3698855" y="5263238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6" name="Arco 202">
                    <a:extLst>
                      <a:ext uri="{FF2B5EF4-FFF2-40B4-BE49-F238E27FC236}">
                        <a16:creationId xmlns:a16="http://schemas.microsoft.com/office/drawing/2014/main" id="{19142FFA-BD42-292E-2493-647F6735E096}"/>
                      </a:ext>
                    </a:extLst>
                  </xdr:cNvPr>
                  <xdr:cNvSpPr/>
                </xdr:nvSpPr>
                <xdr:spPr>
                  <a:xfrm flipV="1">
                    <a:off x="3656307" y="5263237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  <xdr:sp macro="" textlink="">
                <xdr:nvSpPr>
                  <xdr:cNvPr id="57" name="Arco 203">
                    <a:extLst>
                      <a:ext uri="{FF2B5EF4-FFF2-40B4-BE49-F238E27FC236}">
                        <a16:creationId xmlns:a16="http://schemas.microsoft.com/office/drawing/2014/main" id="{2A08B2E4-0BD0-2FF6-B2B8-CBC6D60E7A40}"/>
                      </a:ext>
                    </a:extLst>
                  </xdr:cNvPr>
                  <xdr:cNvSpPr/>
                </xdr:nvSpPr>
                <xdr:spPr>
                  <a:xfrm flipV="1">
                    <a:off x="3613760" y="5263236"/>
                    <a:ext cx="42547" cy="344235"/>
                  </a:xfrm>
                  <a:prstGeom prst="arc">
                    <a:avLst>
                      <a:gd name="adj1" fmla="val 10746619"/>
                      <a:gd name="adj2" fmla="val 0"/>
                    </a:avLst>
                  </a:prstGeom>
                  <a:ln w="12700" cmpd="sng">
                    <a:solidFill>
                      <a:schemeClr val="tx1"/>
                    </a:solidFill>
                  </a:ln>
                  <a:effectLst/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wrap="square" rtlCol="0" anchor="ctr"/>
                  <a:lstStyle>
                    <a:defPPr>
                      <a:defRPr lang="es-ES"/>
                    </a:defPPr>
                    <a:lvl1pPr marL="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4572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s-ES" sz="6000"/>
                  </a:p>
                </xdr:txBody>
              </xdr:sp>
            </xdr:grpSp>
            <xdr:pic>
              <xdr:nvPicPr>
                <xdr:cNvPr id="44" name="Picture 43">
                  <a:extLst>
                    <a:ext uri="{FF2B5EF4-FFF2-40B4-BE49-F238E27FC236}">
                      <a16:creationId xmlns:a16="http://schemas.microsoft.com/office/drawing/2014/main" id="{1A314D64-30EB-D3CB-D36D-0CB14E4D7EC4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088436" y="2780416"/>
                  <a:ext cx="152400" cy="2603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5" name="CuadroTexto 212">
                  <a:extLst>
                    <a:ext uri="{FF2B5EF4-FFF2-40B4-BE49-F238E27FC236}">
                      <a16:creationId xmlns:a16="http://schemas.microsoft.com/office/drawing/2014/main" id="{E5A3E2E5-59FB-4D8B-9D80-A10389AC7B39}"/>
                    </a:ext>
                  </a:extLst>
                </xdr:cNvPr>
                <xdr:cNvSpPr txBox="1"/>
              </xdr:nvSpPr>
              <xdr:spPr>
                <a:xfrm>
                  <a:off x="3774719" y="170536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1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46" name="Conector recto 224">
                  <a:extLst>
                    <a:ext uri="{FF2B5EF4-FFF2-40B4-BE49-F238E27FC236}">
                      <a16:creationId xmlns:a16="http://schemas.microsoft.com/office/drawing/2014/main" id="{3D482FE2-EED1-D34A-24DA-E38042F6F933}"/>
                    </a:ext>
                  </a:extLst>
                </xdr:cNvPr>
                <xdr:cNvCxnSpPr>
                  <a:cxnSpLocks/>
                  <a:stCxn id="47" idx="2"/>
                </xdr:cNvCxnSpPr>
              </xdr:nvCxnSpPr>
              <xdr:spPr>
                <a:xfrm flipH="1">
                  <a:off x="3313546" y="2153218"/>
                  <a:ext cx="2036202" cy="16678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7" name="Rectángulo 227">
                  <a:extLst>
                    <a:ext uri="{FF2B5EF4-FFF2-40B4-BE49-F238E27FC236}">
                      <a16:creationId xmlns:a16="http://schemas.microsoft.com/office/drawing/2014/main" id="{A9F044F0-7383-DFC6-0AB3-E42948C34034}"/>
                    </a:ext>
                  </a:extLst>
                </xdr:cNvPr>
                <xdr:cNvSpPr/>
              </xdr:nvSpPr>
              <xdr:spPr>
                <a:xfrm rot="5400000">
                  <a:off x="5342604" y="2097864"/>
                  <a:ext cx="124994" cy="110707"/>
                </a:xfrm>
                <a:prstGeom prst="rect">
                  <a:avLst/>
                </a:prstGeom>
                <a:solidFill>
                  <a:schemeClr val="tx1"/>
                </a:solidFill>
                <a:ln>
                  <a:solidFill>
                    <a:srgbClr val="000000"/>
                  </a:solidFill>
                </a:ln>
                <a:effectLst/>
              </xdr:spPr>
              <xdr:style>
                <a:lnRef idx="1">
                  <a:schemeClr val="accent1"/>
                </a:lnRef>
                <a:fillRef idx="3">
                  <a:schemeClr val="accent1"/>
                </a:fillRef>
                <a:effectRef idx="2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 sz="6000"/>
                </a:p>
              </xdr:txBody>
            </xdr:sp>
            <xdr:sp macro="" textlink="">
              <xdr:nvSpPr>
                <xdr:cNvPr id="48" name="CuadroTexto 229">
                  <a:extLst>
                    <a:ext uri="{FF2B5EF4-FFF2-40B4-BE49-F238E27FC236}">
                      <a16:creationId xmlns:a16="http://schemas.microsoft.com/office/drawing/2014/main" id="{AB9F8027-432A-96D2-BFDA-7AA9B4F9A553}"/>
                    </a:ext>
                  </a:extLst>
                </xdr:cNvPr>
                <xdr:cNvSpPr txBox="1"/>
              </xdr:nvSpPr>
              <xdr:spPr>
                <a:xfrm>
                  <a:off x="6305199" y="2621064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2</a:t>
                  </a:r>
                </a:p>
              </xdr:txBody>
            </xdr:sp>
            <xdr:sp macro="" textlink="">
              <xdr:nvSpPr>
                <xdr:cNvPr id="49" name="CuadroTexto 230">
                  <a:extLst>
                    <a:ext uri="{FF2B5EF4-FFF2-40B4-BE49-F238E27FC236}">
                      <a16:creationId xmlns:a16="http://schemas.microsoft.com/office/drawing/2014/main" id="{88D9C7D5-3CFC-0883-C6AD-EF30D50C1DE1}"/>
                    </a:ext>
                  </a:extLst>
                </xdr:cNvPr>
                <xdr:cNvSpPr txBox="1"/>
              </xdr:nvSpPr>
              <xdr:spPr>
                <a:xfrm>
                  <a:off x="5502024" y="3269869"/>
                  <a:ext cx="644339" cy="30777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400" b="1">
                      <a:latin typeface="CMU Serif Roman"/>
                      <a:cs typeface="CMU Serif Roman"/>
                    </a:rPr>
                    <a:t>G</a:t>
                  </a:r>
                  <a:r>
                    <a:rPr lang="es-ES" sz="1400" b="1" baseline="-25000">
                      <a:latin typeface="CMU Serif Roman"/>
                      <a:cs typeface="CMU Serif Roman"/>
                    </a:rPr>
                    <a:t>3</a:t>
                  </a:r>
                </a:p>
              </xdr:txBody>
            </xdr:sp>
            <xdr:sp macro="" textlink="">
              <xdr:nvSpPr>
                <xdr:cNvPr id="50" name="CuadroTexto 234">
                  <a:extLst>
                    <a:ext uri="{FF2B5EF4-FFF2-40B4-BE49-F238E27FC236}">
                      <a16:creationId xmlns:a16="http://schemas.microsoft.com/office/drawing/2014/main" id="{E0467C09-C933-94C5-8DE5-3BB38AFE9F27}"/>
                    </a:ext>
                  </a:extLst>
                </xdr:cNvPr>
                <xdr:cNvSpPr txBox="1"/>
              </xdr:nvSpPr>
              <xdr:spPr>
                <a:xfrm rot="20858221">
                  <a:off x="4577720" y="2297817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2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sp macro="" textlink="">
              <xdr:nvSpPr>
                <xdr:cNvPr id="51" name="CuadroTexto 235">
                  <a:extLst>
                    <a:ext uri="{FF2B5EF4-FFF2-40B4-BE49-F238E27FC236}">
                      <a16:creationId xmlns:a16="http://schemas.microsoft.com/office/drawing/2014/main" id="{2C714171-BEA4-EBA5-A256-A14165B0560E}"/>
                    </a:ext>
                  </a:extLst>
                </xdr:cNvPr>
                <xdr:cNvSpPr txBox="1"/>
              </xdr:nvSpPr>
              <xdr:spPr>
                <a:xfrm rot="748052">
                  <a:off x="3798052" y="2284378"/>
                  <a:ext cx="654274" cy="27699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rtlCol="0">
                  <a:spAutoFit/>
                </a:bodyPr>
                <a:lstStyle>
                  <a:defPPr>
                    <a:defRPr lang="es-ES"/>
                  </a:defPPr>
                  <a:lvl1pPr marL="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4572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s-ES" sz="1200">
                      <a:latin typeface="CMU Serif Roman"/>
                      <a:cs typeface="CMU Serif Roman"/>
                    </a:rPr>
                    <a:t> Line 3</a:t>
                  </a:r>
                  <a:endParaRPr lang="es-ES" sz="1200" i="1" baseline="-25000">
                    <a:latin typeface="CMU Serif Roman"/>
                    <a:cs typeface="CMU Serif Roman"/>
                  </a:endParaRPr>
                </a:p>
              </xdr:txBody>
            </xdr:sp>
            <xdr:cxnSp macro="">
              <xdr:nvCxnSpPr>
                <xdr:cNvPr id="52" name="Conector recto 93">
                  <a:extLst>
                    <a:ext uri="{FF2B5EF4-FFF2-40B4-BE49-F238E27FC236}">
                      <a16:creationId xmlns:a16="http://schemas.microsoft.com/office/drawing/2014/main" id="{9D1FE8B1-F166-856E-1653-CE12FF7D403D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4700296" y="2491450"/>
                  <a:ext cx="573421" cy="129614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Conector recto 93">
                  <a:extLst>
                    <a:ext uri="{FF2B5EF4-FFF2-40B4-BE49-F238E27FC236}">
                      <a16:creationId xmlns:a16="http://schemas.microsoft.com/office/drawing/2014/main" id="{E6EF33F4-20E9-4E29-F450-AC7E6206393E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794375" y="2501990"/>
                  <a:ext cx="597420" cy="119182"/>
                </a:xfrm>
                <a:prstGeom prst="line">
                  <a:avLst/>
                </a:prstGeom>
                <a:ln w="6350" cmpd="sng">
                  <a:solidFill>
                    <a:schemeClr val="tx1"/>
                  </a:solidFill>
                  <a:headEnd type="none"/>
                  <a:tailEnd type="none"/>
                </a:ln>
                <a:effectLst/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" name="Rectángulo 126">
                <a:extLst>
                  <a:ext uri="{FF2B5EF4-FFF2-40B4-BE49-F238E27FC236}">
                    <a16:creationId xmlns:a16="http://schemas.microsoft.com/office/drawing/2014/main" id="{DC1F5739-F2E8-EC19-12BD-AE4CE95B2889}"/>
                  </a:ext>
                </a:extLst>
              </xdr:cNvPr>
              <xdr:cNvSpPr/>
            </xdr:nvSpPr>
            <xdr:spPr>
              <a:xfrm rot="5400000">
                <a:off x="3597843" y="2115436"/>
                <a:ext cx="124994" cy="110707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rgbClr val="000000"/>
                </a:solidFill>
              </a:ln>
              <a:effectLst/>
            </xdr:spPr>
            <xdr:style>
              <a:lnRef idx="1">
                <a:schemeClr val="accent1"/>
              </a:lnRef>
              <a:fillRef idx="3">
                <a:schemeClr val="accent1"/>
              </a:fillRef>
              <a:effectRef idx="2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 sz="6000"/>
              </a:p>
            </xdr:txBody>
          </xdr:sp>
        </xdr:grpSp>
        <xdr:sp macro="" textlink="">
          <xdr:nvSpPr>
            <xdr:cNvPr id="11" name="TextBox 9">
              <a:extLst>
                <a:ext uri="{FF2B5EF4-FFF2-40B4-BE49-F238E27FC236}">
                  <a16:creationId xmlns:a16="http://schemas.microsoft.com/office/drawing/2014/main" id="{43D1D5AE-BFD4-9310-980E-E21D71320CE4}"/>
                </a:ext>
              </a:extLst>
            </xdr:cNvPr>
            <xdr:cNvSpPr txBox="1"/>
          </xdr:nvSpPr>
          <xdr:spPr>
            <a:xfrm>
              <a:off x="2624826" y="1860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1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EC4A74C-9DF4-F2C2-0177-07BC399147FA}"/>
                </a:ext>
              </a:extLst>
            </xdr:cNvPr>
            <xdr:cNvSpPr txBox="1"/>
          </xdr:nvSpPr>
          <xdr:spPr>
            <a:xfrm>
              <a:off x="5824193" y="1825065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2</a:t>
              </a:r>
            </a:p>
          </xdr:txBody>
        </xdr:sp>
        <xdr:sp macro="" textlink="">
          <xdr:nvSpPr>
            <xdr:cNvPr id="13" name="TextBox 15">
              <a:extLst>
                <a:ext uri="{FF2B5EF4-FFF2-40B4-BE49-F238E27FC236}">
                  <a16:creationId xmlns:a16="http://schemas.microsoft.com/office/drawing/2014/main" id="{44DB7197-BE33-4E06-ED84-DBF7BC40B84A}"/>
                </a:ext>
              </a:extLst>
            </xdr:cNvPr>
            <xdr:cNvSpPr txBox="1"/>
          </xdr:nvSpPr>
          <xdr:spPr>
            <a:xfrm>
              <a:off x="3776970" y="3115980"/>
              <a:ext cx="579005" cy="3077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400"/>
                <a:t>Bus 3</a:t>
              </a:r>
            </a:p>
          </xdr:txBody>
        </xdr:sp>
      </xdr:grp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D6D6378E-0AD1-3273-7827-E72618D5370D}"/>
              </a:ext>
            </a:extLst>
          </xdr:cNvPr>
          <xdr:cNvSpPr/>
        </xdr:nvSpPr>
        <xdr:spPr>
          <a:xfrm>
            <a:off x="4223710" y="4464260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49C00FE-7AEC-4482-1799-C223F44F5521}"/>
              </a:ext>
            </a:extLst>
          </xdr:cNvPr>
          <xdr:cNvSpPr/>
        </xdr:nvSpPr>
        <xdr:spPr>
          <a:xfrm>
            <a:off x="3790352" y="4874208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A832F67C-DE50-0EF1-6F5F-AF126FEFB4A5}"/>
              </a:ext>
            </a:extLst>
          </xdr:cNvPr>
          <xdr:cNvSpPr/>
        </xdr:nvSpPr>
        <xdr:spPr>
          <a:xfrm>
            <a:off x="4766937" y="4859443"/>
            <a:ext cx="103241" cy="116211"/>
          </a:xfrm>
          <a:prstGeom prst="ellipse">
            <a:avLst/>
          </a:prstGeom>
          <a:solidFill>
            <a:schemeClr val="accent2"/>
          </a:solidFill>
          <a:ln>
            <a:solidFill>
              <a:srgbClr val="C0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TextBox 132">
            <a:extLst>
              <a:ext uri="{FF2B5EF4-FFF2-40B4-BE49-F238E27FC236}">
                <a16:creationId xmlns:a16="http://schemas.microsoft.com/office/drawing/2014/main" id="{BF4CE0C5-FC5B-CF32-53DD-F1FF3A3C4780}"/>
              </a:ext>
            </a:extLst>
          </xdr:cNvPr>
          <xdr:cNvSpPr txBox="1"/>
        </xdr:nvSpPr>
        <xdr:spPr>
          <a:xfrm>
            <a:off x="4686559" y="4920322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5</a:t>
            </a:r>
          </a:p>
        </xdr:txBody>
      </xdr:sp>
      <xdr:sp macro="" textlink="">
        <xdr:nvSpPr>
          <xdr:cNvPr id="9" name="TextBox 136">
            <a:extLst>
              <a:ext uri="{FF2B5EF4-FFF2-40B4-BE49-F238E27FC236}">
                <a16:creationId xmlns:a16="http://schemas.microsoft.com/office/drawing/2014/main" id="{7585A253-0BF9-1E48-47F7-AB6033C50DB5}"/>
              </a:ext>
            </a:extLst>
          </xdr:cNvPr>
          <xdr:cNvSpPr txBox="1"/>
        </xdr:nvSpPr>
        <xdr:spPr>
          <a:xfrm>
            <a:off x="3443635" y="4950744"/>
            <a:ext cx="57900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>
                <a:solidFill>
                  <a:srgbClr val="C00000"/>
                </a:solidFill>
              </a:rPr>
              <a:t>Bus 6</a:t>
            </a:r>
          </a:p>
        </xdr:txBody>
      </xdr:sp>
    </xdr:grpSp>
    <xdr:clientData/>
  </xdr:twoCellAnchor>
  <xdr:twoCellAnchor editAs="oneCell">
    <xdr:from>
      <xdr:col>23</xdr:col>
      <xdr:colOff>403</xdr:colOff>
      <xdr:row>18</xdr:row>
      <xdr:rowOff>78620</xdr:rowOff>
    </xdr:from>
    <xdr:to>
      <xdr:col>26</xdr:col>
      <xdr:colOff>373441</xdr:colOff>
      <xdr:row>27</xdr:row>
      <xdr:rowOff>34383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B82CCC1-E467-BA40-B01D-891EF453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51203" y="3736220"/>
          <a:ext cx="2278038" cy="1784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A1B3-390A-BA4A-B2AD-D10E44683588}">
  <sheetPr>
    <tabColor rgb="FF00B0F0"/>
  </sheetPr>
  <dimension ref="B1:AC44"/>
  <sheetViews>
    <sheetView showGridLines="0" topLeftCell="A7" zoomScale="120" zoomScaleNormal="120" workbookViewId="0">
      <selection activeCell="E16" sqref="E16"/>
    </sheetView>
  </sheetViews>
  <sheetFormatPr baseColWidth="10" defaultRowHeight="15.75"/>
  <cols>
    <col min="1" max="1" width="1.125" customWidth="1"/>
    <col min="2" max="2" width="8.375" customWidth="1"/>
    <col min="3" max="8" width="4.375" customWidth="1"/>
    <col min="9" max="9" width="5.625" customWidth="1"/>
    <col min="10" max="10" width="4.875" customWidth="1"/>
    <col min="11" max="15" width="7.625" customWidth="1"/>
    <col min="16" max="16" width="9" customWidth="1"/>
    <col min="17" max="18" width="7.625" customWidth="1"/>
    <col min="19" max="22" width="8.875" customWidth="1"/>
    <col min="23" max="23" width="9.875" customWidth="1"/>
    <col min="24" max="25" width="6.125" style="1" customWidth="1"/>
    <col min="26" max="26" width="12.625" bestFit="1" customWidth="1"/>
    <col min="27" max="27" width="10.875" customWidth="1"/>
    <col min="28" max="28" width="5.125" customWidth="1"/>
  </cols>
  <sheetData>
    <row r="1" spans="2:29">
      <c r="AB1" s="64" t="s">
        <v>29</v>
      </c>
      <c r="AC1" s="64"/>
    </row>
    <row r="2" spans="2:29">
      <c r="AB2" s="45" t="s">
        <v>30</v>
      </c>
      <c r="AC2" s="9">
        <v>0.14000000000000001</v>
      </c>
    </row>
    <row r="3" spans="2:29">
      <c r="S3" s="65" t="s">
        <v>45</v>
      </c>
      <c r="T3" s="65"/>
      <c r="U3" s="65" t="s">
        <v>46</v>
      </c>
      <c r="V3" s="65"/>
      <c r="AB3" s="45" t="s">
        <v>31</v>
      </c>
      <c r="AC3" s="9">
        <v>0.02</v>
      </c>
    </row>
    <row r="4" spans="2:29">
      <c r="B4" s="3" t="s">
        <v>20</v>
      </c>
      <c r="C4" s="3" t="s">
        <v>24</v>
      </c>
      <c r="D4" s="3"/>
      <c r="E4" s="3" t="s">
        <v>24</v>
      </c>
      <c r="F4" s="3"/>
      <c r="G4" s="61" t="s">
        <v>27</v>
      </c>
      <c r="H4" s="61"/>
      <c r="I4" s="61" t="s">
        <v>27</v>
      </c>
      <c r="J4" s="61"/>
      <c r="K4" s="61" t="s">
        <v>13</v>
      </c>
      <c r="L4" s="61"/>
      <c r="M4" s="61" t="s">
        <v>14</v>
      </c>
      <c r="N4" s="61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25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47</v>
      </c>
      <c r="Y5" s="4" t="s">
        <v>4</v>
      </c>
      <c r="Z5" s="23" t="s">
        <v>12</v>
      </c>
      <c r="AC5" s="24" t="s">
        <v>28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4.99369553541408</v>
      </c>
      <c r="L6" s="25">
        <v>0.81941997771886399</v>
      </c>
      <c r="M6" s="25">
        <v>5.2130821154335401</v>
      </c>
      <c r="N6" s="25">
        <v>1.04699092948913</v>
      </c>
      <c r="O6" s="37">
        <v>2.4198556495023702</v>
      </c>
      <c r="P6" s="31">
        <v>2.93926369586231</v>
      </c>
      <c r="Q6" s="32">
        <v>2.3823813307753099</v>
      </c>
      <c r="R6" s="32">
        <v>2.65258900451615</v>
      </c>
      <c r="S6" s="28">
        <v>271.53505780499199</v>
      </c>
      <c r="T6" s="28">
        <v>279.39567902267601</v>
      </c>
      <c r="U6" s="28">
        <v>272.33131954437101</v>
      </c>
      <c r="V6" s="28">
        <v>281.68539569519299</v>
      </c>
      <c r="W6" s="32">
        <v>-0.20174528091333699</v>
      </c>
      <c r="X6" s="20">
        <v>2</v>
      </c>
      <c r="Y6" s="20">
        <v>1</v>
      </c>
      <c r="Z6" s="32">
        <v>-2.4208304451169398</v>
      </c>
      <c r="AA6">
        <v>2.2190851642035998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2.7750528410720801</v>
      </c>
      <c r="L7" s="26">
        <v>1.03774168958248</v>
      </c>
      <c r="M7" s="26">
        <v>3.0055624570558899</v>
      </c>
      <c r="N7" s="26">
        <v>1.2749251903227401</v>
      </c>
      <c r="O7" s="39">
        <v>2.5921016309279299</v>
      </c>
      <c r="P7" s="33">
        <v>5.5708124195275497</v>
      </c>
      <c r="Q7" s="34">
        <v>2.5137509147613</v>
      </c>
      <c r="R7" s="34">
        <v>4.76839968559797</v>
      </c>
      <c r="S7" s="29">
        <v>272.86906267278403</v>
      </c>
      <c r="T7" s="29">
        <v>277.69211387785703</v>
      </c>
      <c r="U7" s="29">
        <v>274.46500163868097</v>
      </c>
      <c r="V7" s="29">
        <v>280.57527290467698</v>
      </c>
      <c r="W7" s="34">
        <v>-0.330161369875977</v>
      </c>
      <c r="X7" s="21">
        <v>4</v>
      </c>
      <c r="Y7" s="21">
        <v>2</v>
      </c>
      <c r="Z7" s="34">
        <v>-2.8132502644092501</v>
      </c>
      <c r="AA7">
        <v>2.4830888945332799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4.5680303446839297</v>
      </c>
      <c r="L8" s="26">
        <v>2.2468792654099898</v>
      </c>
      <c r="M8" s="26">
        <v>4.7673815476103503</v>
      </c>
      <c r="N8" s="26">
        <v>2.4489091774686398</v>
      </c>
      <c r="O8" s="39">
        <v>1.6615561712812701</v>
      </c>
      <c r="P8" s="33">
        <v>2.8243458766258902</v>
      </c>
      <c r="Q8" s="34">
        <v>1.6434810430190101</v>
      </c>
      <c r="R8" s="34">
        <v>2.7249057582615999</v>
      </c>
      <c r="S8" s="29">
        <v>272.059266794564</v>
      </c>
      <c r="T8" s="29">
        <v>274.18938946975902</v>
      </c>
      <c r="U8" s="29">
        <v>272.88266569008698</v>
      </c>
      <c r="V8" s="29">
        <v>275.61838326911197</v>
      </c>
      <c r="W8" s="34">
        <v>-0.113915124049891</v>
      </c>
      <c r="X8" s="21">
        <v>6</v>
      </c>
      <c r="Y8" s="21">
        <v>3</v>
      </c>
      <c r="Z8" s="34">
        <v>-4.6311966146620804</v>
      </c>
      <c r="AA8">
        <v>4.5172814906121896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0.956272817526295</v>
      </c>
      <c r="L9" s="26">
        <v>0.18351617502777101</v>
      </c>
      <c r="M9" s="26">
        <v>1.23336438851312</v>
      </c>
      <c r="N9" s="26">
        <v>0.75458803687115605</v>
      </c>
      <c r="O9" s="34">
        <v>2.4589095597039301</v>
      </c>
      <c r="P9" s="35">
        <v>-26.1567489555888</v>
      </c>
      <c r="Q9" s="39">
        <v>2.24616609413899</v>
      </c>
      <c r="R9" s="34">
        <v>6.0409597033869904</v>
      </c>
      <c r="S9" s="29">
        <v>277.27749095451901</v>
      </c>
      <c r="T9" s="29">
        <v>274.36462167229098</v>
      </c>
      <c r="U9" s="29">
        <v>280.76247494760298</v>
      </c>
      <c r="V9" s="29">
        <v>282.94127190478002</v>
      </c>
      <c r="W9" s="42">
        <v>-2.7693621834472499</v>
      </c>
      <c r="X9" s="21">
        <v>1</v>
      </c>
      <c r="Y9" s="21">
        <v>1</v>
      </c>
      <c r="Z9" s="34">
        <v>-2.2104911061785399</v>
      </c>
      <c r="AA9">
        <v>-0.55887107726871099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2.53319051677527</v>
      </c>
      <c r="L10" s="26">
        <v>0.61920712427605096</v>
      </c>
      <c r="M10" s="26">
        <v>2.7676300354769801</v>
      </c>
      <c r="N10" s="26">
        <v>0.90163822996824805</v>
      </c>
      <c r="O10" s="34">
        <v>2.9009360298039302</v>
      </c>
      <c r="P10" s="44">
        <v>6.1242826952392697</v>
      </c>
      <c r="Q10" s="39">
        <v>2.7934300498087401</v>
      </c>
      <c r="R10" s="36">
        <v>4.5787467516253102</v>
      </c>
      <c r="S10" s="29">
        <v>274.28422228755301</v>
      </c>
      <c r="T10" s="29">
        <v>281.342239405025</v>
      </c>
      <c r="U10" s="29">
        <v>275.91680439891701</v>
      </c>
      <c r="V10" s="29">
        <v>284.400621765822</v>
      </c>
      <c r="W10" s="42">
        <v>-0.55808696516542999</v>
      </c>
      <c r="X10" s="21">
        <v>3</v>
      </c>
      <c r="Y10" s="21">
        <v>2</v>
      </c>
      <c r="Z10" s="34">
        <v>-2.4960407653255698</v>
      </c>
      <c r="AA10">
        <v>1.93795380016014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0.87257388038814698</v>
      </c>
      <c r="L11" s="26">
        <v>0.77634494206567795</v>
      </c>
      <c r="M11" s="26">
        <v>1.1273117550535601</v>
      </c>
      <c r="N11" s="26">
        <v>0.24751487721888599</v>
      </c>
      <c r="O11" s="34">
        <v>4.6821308637508396</v>
      </c>
      <c r="P11" s="44">
        <v>2.6647028301328799</v>
      </c>
      <c r="Q11" s="39">
        <v>3.9783456200974499</v>
      </c>
      <c r="R11" s="36">
        <v>4.86990509840349</v>
      </c>
      <c r="S11" s="29">
        <v>279.76305459266399</v>
      </c>
      <c r="T11" s="51">
        <v>458.80355998950898</v>
      </c>
      <c r="U11" s="29">
        <v>282.87503584047801</v>
      </c>
      <c r="V11" s="29">
        <v>290.41248652365198</v>
      </c>
      <c r="W11" s="34">
        <v>1.62479145109326</v>
      </c>
      <c r="X11" s="21">
        <v>5</v>
      </c>
      <c r="Y11" s="21">
        <v>3</v>
      </c>
      <c r="Z11" s="42">
        <v>-1.41180264048991</v>
      </c>
      <c r="AA11">
        <v>3.03659409158317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1.03774345191879</v>
      </c>
      <c r="L12" s="25">
        <v>0.61920439519786596</v>
      </c>
      <c r="M12" s="25">
        <v>1.28365126223563</v>
      </c>
      <c r="N12" s="25">
        <v>0.257807415759777</v>
      </c>
      <c r="O12" s="32">
        <v>5.5708047013111397</v>
      </c>
      <c r="P12" s="32">
        <v>3.3511039222320398</v>
      </c>
      <c r="Q12" s="37">
        <v>4.7456997913586303</v>
      </c>
      <c r="R12" s="38">
        <v>5.9122269168042001</v>
      </c>
      <c r="S12" s="28">
        <v>277.692114684562</v>
      </c>
      <c r="T12" s="50">
        <v>461.342265799833</v>
      </c>
      <c r="U12" s="28">
        <v>280.791730348643</v>
      </c>
      <c r="V12" s="28">
        <v>290.145806503698</v>
      </c>
      <c r="W12" s="32">
        <v>1.43419846048968</v>
      </c>
      <c r="X12" s="20">
        <v>2</v>
      </c>
      <c r="Y12" s="20">
        <v>1</v>
      </c>
      <c r="Z12" s="43">
        <v>-1.3391162805101799</v>
      </c>
      <c r="AA12">
        <v>2.7733147409998602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2.2468877799199598</v>
      </c>
      <c r="L13" s="26">
        <v>0.77634878048617895</v>
      </c>
      <c r="M13" s="26">
        <v>2.4892119668145201</v>
      </c>
      <c r="N13" s="26">
        <v>1.0558952243975801</v>
      </c>
      <c r="O13" s="39">
        <v>2.82434134423734</v>
      </c>
      <c r="P13" s="33">
        <v>7.2922928986111604</v>
      </c>
      <c r="Q13" s="34">
        <v>2.70681922009071</v>
      </c>
      <c r="R13" s="34">
        <v>5.4930818307662701</v>
      </c>
      <c r="S13" s="29">
        <v>274.18934862928398</v>
      </c>
      <c r="T13" s="29">
        <v>278.80351843306602</v>
      </c>
      <c r="U13" s="29">
        <v>276.06838548929699</v>
      </c>
      <c r="V13" s="29">
        <v>282.17865678320197</v>
      </c>
      <c r="W13" s="34">
        <v>-0.54091276834319502</v>
      </c>
      <c r="X13" s="21">
        <v>4</v>
      </c>
      <c r="Y13" s="21">
        <v>2</v>
      </c>
      <c r="Z13" s="34">
        <v>-2.5273593925135902</v>
      </c>
      <c r="AA13">
        <v>1.98644662417039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0.81942512166657699</v>
      </c>
      <c r="L14" s="26">
        <v>0.18351076809703701</v>
      </c>
      <c r="M14" s="26">
        <v>1.0991359721237499</v>
      </c>
      <c r="N14" s="26">
        <v>0.56460430915301996</v>
      </c>
      <c r="O14" s="34">
        <v>2.9392555792490298</v>
      </c>
      <c r="P14" s="35">
        <v>-81.423728068475995</v>
      </c>
      <c r="Q14" s="39">
        <v>2.6021090804388902</v>
      </c>
      <c r="R14" s="36">
        <v>6.6752291587284098</v>
      </c>
      <c r="S14" s="29">
        <v>279.395646260116</v>
      </c>
      <c r="T14" s="51">
        <v>454.36466944120599</v>
      </c>
      <c r="U14" s="29">
        <v>282.78444363576801</v>
      </c>
      <c r="V14" s="29">
        <v>285.52016119035</v>
      </c>
      <c r="W14" s="34">
        <v>-2.0194573841002299</v>
      </c>
      <c r="X14" s="21">
        <v>6</v>
      </c>
      <c r="Y14" s="21">
        <v>3</v>
      </c>
      <c r="Z14" s="42">
        <v>-1.8482986031311299</v>
      </c>
      <c r="AA14">
        <v>-0.171158780969107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4.2734632641725998</v>
      </c>
      <c r="L15" s="26">
        <v>2.53318288015614</v>
      </c>
      <c r="M15" s="26">
        <v>4.47740680119544</v>
      </c>
      <c r="N15" s="26">
        <v>2.7393344843493699</v>
      </c>
      <c r="O15" s="39">
        <v>1.5719399875761499</v>
      </c>
      <c r="P15" s="33">
        <v>2.90093982891407</v>
      </c>
      <c r="Q15" s="34">
        <v>1.5542115499265501</v>
      </c>
      <c r="R15" s="34">
        <v>2.80551054311944</v>
      </c>
      <c r="S15" s="29">
        <v>272.53805085253498</v>
      </c>
      <c r="T15" s="29">
        <v>274.28424759704097</v>
      </c>
      <c r="U15" s="29">
        <v>273.425155947554</v>
      </c>
      <c r="V15" s="29">
        <v>275.60395287729801</v>
      </c>
      <c r="W15" s="34">
        <v>-0.120429247885807</v>
      </c>
      <c r="X15" s="21">
        <v>1</v>
      </c>
      <c r="Y15" s="21">
        <v>1</v>
      </c>
      <c r="Z15" s="34">
        <v>-5.5079768169225201</v>
      </c>
      <c r="AA15">
        <v>5.3875475690367098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3.1875823977202198</v>
      </c>
      <c r="L16" s="26">
        <v>0.872572002009109</v>
      </c>
      <c r="M16" s="26">
        <v>3.4205390479292199</v>
      </c>
      <c r="N16" s="26">
        <v>1.1143428616239801</v>
      </c>
      <c r="O16" s="34">
        <v>2.6370898991117202</v>
      </c>
      <c r="P16" s="34">
        <v>4.6821378070619497</v>
      </c>
      <c r="Q16" s="39">
        <v>2.5652549319377602</v>
      </c>
      <c r="R16" s="36">
        <v>4.0056110493435</v>
      </c>
      <c r="S16" s="29">
        <v>272.66059266801398</v>
      </c>
      <c r="T16" s="29">
        <v>279.76305725420502</v>
      </c>
      <c r="U16" s="29">
        <v>274.05610742019002</v>
      </c>
      <c r="V16" s="29">
        <v>282.539924795437</v>
      </c>
      <c r="W16" s="42">
        <v>-0.33115615355674399</v>
      </c>
      <c r="X16" s="21">
        <v>3</v>
      </c>
      <c r="Y16" s="21">
        <v>2</v>
      </c>
      <c r="Z16" s="34">
        <v>-2.7474056023729099</v>
      </c>
      <c r="AA16">
        <v>2.4162494488161599</v>
      </c>
    </row>
    <row r="17" spans="2:27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5.13346642237099</v>
      </c>
      <c r="L17" s="27">
        <v>0.95626662527754402</v>
      </c>
      <c r="M17" s="27">
        <v>5.3437984060568002</v>
      </c>
      <c r="N17" s="27">
        <v>1.1732953203352701</v>
      </c>
      <c r="O17" s="47">
        <v>2.0877764203701399</v>
      </c>
      <c r="P17" s="40">
        <v>2.4589154712991199</v>
      </c>
      <c r="Q17" s="41">
        <v>2.0614215716281201</v>
      </c>
      <c r="R17" s="41">
        <v>2.2850379829893201</v>
      </c>
      <c r="S17" s="30">
        <v>271.35219082979899</v>
      </c>
      <c r="T17" s="30">
        <v>277.27753564414297</v>
      </c>
      <c r="U17" s="30">
        <v>272.10838495991902</v>
      </c>
      <c r="V17" s="30">
        <v>279.64583564687803</v>
      </c>
      <c r="W17" s="41">
        <v>-0.17074040155648201</v>
      </c>
      <c r="X17" s="22">
        <v>5</v>
      </c>
      <c r="Y17" s="22">
        <v>3</v>
      </c>
      <c r="Z17" s="41">
        <v>-2.9021521636488399</v>
      </c>
      <c r="AA17">
        <v>2.7314117620923599</v>
      </c>
    </row>
    <row r="18" spans="2:27">
      <c r="W18" s="1"/>
    </row>
    <row r="19" spans="2:27">
      <c r="T19" s="65" t="s">
        <v>22</v>
      </c>
      <c r="U19" s="65"/>
      <c r="W19" s="1"/>
    </row>
    <row r="20" spans="2:27">
      <c r="I20" s="1" t="s">
        <v>48</v>
      </c>
      <c r="J20" s="1" t="s">
        <v>38</v>
      </c>
      <c r="K20" s="63" t="s">
        <v>0</v>
      </c>
      <c r="L20" s="63"/>
      <c r="M20" s="63"/>
      <c r="N20" s="63"/>
      <c r="O20" s="63"/>
      <c r="P20" s="63"/>
      <c r="Q20" s="10" t="s">
        <v>2</v>
      </c>
      <c r="S20" s="10" t="s">
        <v>1</v>
      </c>
      <c r="W20" s="1"/>
    </row>
    <row r="21" spans="2:27">
      <c r="F21" t="s">
        <v>49</v>
      </c>
      <c r="H21" s="58">
        <v>1</v>
      </c>
      <c r="I21" s="59">
        <v>1</v>
      </c>
      <c r="J21" s="59">
        <v>1</v>
      </c>
      <c r="K21" s="60">
        <v>-2.4198556495023702</v>
      </c>
      <c r="L21" s="60">
        <v>0</v>
      </c>
      <c r="M21" s="60">
        <v>0</v>
      </c>
      <c r="N21" s="60">
        <v>0</v>
      </c>
      <c r="O21" s="60">
        <v>2.93926369586231</v>
      </c>
      <c r="P21" s="60">
        <v>0</v>
      </c>
      <c r="Q21" s="54">
        <v>0.11292606172105862</v>
      </c>
      <c r="S21" s="19" cm="1">
        <f t="array" ref="S21:S44">MMULT(K21:P44,Q21:Q26)</f>
        <v>0.20000000000000007</v>
      </c>
      <c r="T21" s="46" t="s">
        <v>32</v>
      </c>
      <c r="U21" s="2">
        <f>Q22*O15</f>
        <v>0.33339263113700596</v>
      </c>
      <c r="V21" s="8"/>
      <c r="W21" s="8"/>
    </row>
    <row r="22" spans="2:27">
      <c r="H22" s="58">
        <v>2</v>
      </c>
      <c r="I22" s="59">
        <v>1</v>
      </c>
      <c r="J22" s="59">
        <v>1</v>
      </c>
      <c r="K22" s="60">
        <v>5.5708124195275497</v>
      </c>
      <c r="L22" s="60">
        <v>0</v>
      </c>
      <c r="M22" s="60">
        <v>-2.5921016309279299</v>
      </c>
      <c r="N22" s="60">
        <v>0</v>
      </c>
      <c r="O22" s="60">
        <v>0</v>
      </c>
      <c r="P22" s="60">
        <v>0</v>
      </c>
      <c r="Q22" s="54">
        <v>0.21208992313445765</v>
      </c>
      <c r="S22" s="19">
        <v>0.2</v>
      </c>
      <c r="T22" s="6" t="s">
        <v>33</v>
      </c>
      <c r="U22" s="1">
        <f>O6*Q21</f>
        <v>0.27326476843175707</v>
      </c>
      <c r="V22" s="9"/>
      <c r="W22" s="9"/>
    </row>
    <row r="23" spans="2:27">
      <c r="H23" s="58">
        <v>3</v>
      </c>
      <c r="I23" s="59">
        <v>1</v>
      </c>
      <c r="J23" s="59">
        <v>1</v>
      </c>
      <c r="K23" s="60">
        <v>0</v>
      </c>
      <c r="L23" s="60">
        <v>0</v>
      </c>
      <c r="M23" s="60">
        <v>2.8243458766258902</v>
      </c>
      <c r="N23" s="60">
        <v>0</v>
      </c>
      <c r="O23" s="60">
        <v>-1.6615561712812701</v>
      </c>
      <c r="P23" s="60">
        <v>0</v>
      </c>
      <c r="Q23" s="54">
        <v>0.16553745501498754</v>
      </c>
      <c r="R23" s="10" t="s">
        <v>26</v>
      </c>
      <c r="S23" s="19">
        <v>0.20000000000000007</v>
      </c>
      <c r="T23" s="6" t="s">
        <v>37</v>
      </c>
      <c r="U23" s="1">
        <f>Q24*O16</f>
        <v>0.48487883333952719</v>
      </c>
      <c r="V23" s="8"/>
      <c r="W23" s="8"/>
    </row>
    <row r="24" spans="2:27">
      <c r="H24" s="58">
        <v>4</v>
      </c>
      <c r="I24" s="59">
        <v>2</v>
      </c>
      <c r="J24" s="59">
        <v>2</v>
      </c>
      <c r="K24" s="60">
        <v>0</v>
      </c>
      <c r="L24" s="60">
        <v>0</v>
      </c>
      <c r="M24" s="60">
        <v>0.55808696516542999</v>
      </c>
      <c r="N24" s="60">
        <v>-2.7934300498087401</v>
      </c>
      <c r="O24" s="60">
        <v>0</v>
      </c>
      <c r="P24" s="60">
        <v>4.5787467516253102</v>
      </c>
      <c r="Q24" s="54">
        <v>0.18386890545629644</v>
      </c>
      <c r="S24" s="19">
        <v>0.2838723878119383</v>
      </c>
      <c r="T24" s="6" t="s">
        <v>34</v>
      </c>
      <c r="U24" s="1">
        <f>O7*Q23</f>
        <v>0.42908990712400802</v>
      </c>
      <c r="V24" s="9"/>
      <c r="W24" s="9"/>
    </row>
    <row r="25" spans="2:27">
      <c r="H25" s="58">
        <v>5</v>
      </c>
      <c r="I25" s="59">
        <v>3</v>
      </c>
      <c r="J25" s="59">
        <v>3</v>
      </c>
      <c r="K25" s="60">
        <v>2.7693621834472499</v>
      </c>
      <c r="L25" s="60">
        <v>-2.24616609413899</v>
      </c>
      <c r="M25" s="60">
        <v>0</v>
      </c>
      <c r="N25" s="60">
        <v>6.0409597033869904</v>
      </c>
      <c r="O25" s="60">
        <v>0</v>
      </c>
      <c r="P25" s="60">
        <v>0</v>
      </c>
      <c r="Q25" s="54">
        <v>0.16101473613884532</v>
      </c>
      <c r="S25" s="19">
        <v>0.94708861917012555</v>
      </c>
      <c r="T25" s="6" t="s">
        <v>36</v>
      </c>
      <c r="U25" s="1">
        <f>O17*Q26</f>
        <v>0.32151119330195899</v>
      </c>
      <c r="V25" s="8"/>
      <c r="W25" s="8"/>
    </row>
    <row r="26" spans="2:27">
      <c r="H26" s="58">
        <v>6</v>
      </c>
      <c r="I26" s="59">
        <v>3</v>
      </c>
      <c r="J26" s="59">
        <v>4</v>
      </c>
      <c r="K26" s="60">
        <v>0</v>
      </c>
      <c r="L26" s="60">
        <v>4.86990509840349</v>
      </c>
      <c r="M26" s="60">
        <v>0</v>
      </c>
      <c r="N26" s="60">
        <v>0</v>
      </c>
      <c r="O26" s="60">
        <v>1.41180264048991</v>
      </c>
      <c r="P26" s="60">
        <v>-3.9783456200974499</v>
      </c>
      <c r="Q26" s="54">
        <v>0.15399694630374194</v>
      </c>
      <c r="S26" s="19">
        <v>0.64752575079523356</v>
      </c>
      <c r="T26" s="6" t="s">
        <v>35</v>
      </c>
      <c r="U26" s="4">
        <f>O8*Q25</f>
        <v>0.26753502849872379</v>
      </c>
    </row>
    <row r="27" spans="2:27">
      <c r="H27" s="58">
        <v>7</v>
      </c>
      <c r="I27" s="59">
        <v>1</v>
      </c>
      <c r="J27" s="59">
        <v>1</v>
      </c>
      <c r="K27" s="60">
        <v>0</v>
      </c>
      <c r="L27" s="60">
        <v>-1.5719399875761499</v>
      </c>
      <c r="M27" s="60">
        <v>0</v>
      </c>
      <c r="N27" s="60">
        <v>2.90093982891407</v>
      </c>
      <c r="O27" s="60">
        <v>0</v>
      </c>
      <c r="P27" s="60">
        <v>0</v>
      </c>
      <c r="S27" s="19">
        <v>0.2</v>
      </c>
      <c r="T27" s="6" t="s">
        <v>21</v>
      </c>
      <c r="U27" s="7">
        <f>SUM(U21:U26)</f>
        <v>2.1096723618329807</v>
      </c>
    </row>
    <row r="28" spans="2:27">
      <c r="H28" s="58">
        <v>8</v>
      </c>
      <c r="I28" s="59">
        <v>1</v>
      </c>
      <c r="J28" s="59">
        <v>1</v>
      </c>
      <c r="K28" s="60">
        <v>7.2922928986111604</v>
      </c>
      <c r="L28" s="60">
        <v>0</v>
      </c>
      <c r="M28" s="60">
        <v>-2.82434134423734</v>
      </c>
      <c r="N28" s="60">
        <v>0</v>
      </c>
      <c r="O28" s="60">
        <v>0</v>
      </c>
      <c r="P28" s="60">
        <v>0</v>
      </c>
      <c r="Q28" s="48"/>
      <c r="S28" s="19">
        <v>0.35595563973794331</v>
      </c>
    </row>
    <row r="29" spans="2:27">
      <c r="H29" s="58">
        <v>9</v>
      </c>
      <c r="I29" s="59">
        <v>1</v>
      </c>
      <c r="J29" s="59">
        <v>1</v>
      </c>
      <c r="K29" s="60">
        <v>0</v>
      </c>
      <c r="L29" s="60">
        <v>2.4589154712991199</v>
      </c>
      <c r="M29" s="60">
        <v>0</v>
      </c>
      <c r="N29" s="60">
        <v>0</v>
      </c>
      <c r="O29" s="60">
        <v>0</v>
      </c>
      <c r="P29" s="60">
        <v>-2.0877764203701399</v>
      </c>
      <c r="Q29" s="48"/>
      <c r="S29" s="19">
        <v>0.20000000000000007</v>
      </c>
    </row>
    <row r="30" spans="2:27">
      <c r="H30" s="58">
        <v>10</v>
      </c>
      <c r="I30" s="59">
        <v>2</v>
      </c>
      <c r="J30" s="59">
        <v>2</v>
      </c>
      <c r="K30" s="60">
        <v>0</v>
      </c>
      <c r="L30" s="60">
        <v>0</v>
      </c>
      <c r="M30" s="60">
        <v>0.33115615355674399</v>
      </c>
      <c r="N30" s="60">
        <v>-2.5652549319377602</v>
      </c>
      <c r="O30" s="60">
        <v>0</v>
      </c>
      <c r="P30" s="60">
        <v>4.0056110493435</v>
      </c>
      <c r="Q30" s="48"/>
      <c r="S30" s="19">
        <v>0.20000000000000007</v>
      </c>
    </row>
    <row r="31" spans="2:27">
      <c r="H31" s="58">
        <v>11</v>
      </c>
      <c r="I31" s="59">
        <v>3</v>
      </c>
      <c r="J31" s="59">
        <v>4</v>
      </c>
      <c r="K31" s="60">
        <v>-4.7456997913586303</v>
      </c>
      <c r="L31" s="60">
        <v>1.3391162805101799</v>
      </c>
      <c r="M31" s="60">
        <v>0</v>
      </c>
      <c r="N31" s="60">
        <v>0</v>
      </c>
      <c r="O31" s="60">
        <v>5.9122269168042001</v>
      </c>
      <c r="P31" s="60">
        <v>0</v>
      </c>
      <c r="Q31" s="48"/>
      <c r="S31" s="19">
        <v>0.70005553845513246</v>
      </c>
    </row>
    <row r="32" spans="2:27">
      <c r="H32" s="58">
        <v>12</v>
      </c>
      <c r="I32" s="59">
        <v>3</v>
      </c>
      <c r="J32" s="59">
        <v>5</v>
      </c>
      <c r="K32" s="60">
        <v>0</v>
      </c>
      <c r="L32" s="60">
        <v>0</v>
      </c>
      <c r="M32" s="60">
        <v>6.6752291587284098</v>
      </c>
      <c r="N32" s="60">
        <v>0</v>
      </c>
      <c r="O32" s="60">
        <v>-2.6021090804388902</v>
      </c>
      <c r="P32" s="60">
        <v>1.8482986031311299</v>
      </c>
      <c r="Q32" s="48"/>
      <c r="S32" s="19">
        <v>0.97065488032604175</v>
      </c>
    </row>
    <row r="33" spans="6:23">
      <c r="F33" t="s">
        <v>50</v>
      </c>
      <c r="H33" s="55">
        <v>1</v>
      </c>
      <c r="I33" s="56">
        <v>1</v>
      </c>
      <c r="J33" s="56">
        <v>1</v>
      </c>
      <c r="K33" s="57">
        <v>-3.10250451165843</v>
      </c>
      <c r="L33" s="57">
        <v>0</v>
      </c>
      <c r="M33" s="57">
        <v>0</v>
      </c>
      <c r="N33" s="57">
        <v>0</v>
      </c>
      <c r="O33" s="57">
        <v>3.99724211549856</v>
      </c>
      <c r="P33" s="57">
        <v>0</v>
      </c>
      <c r="Q33" s="48"/>
      <c r="S33" s="53">
        <v>0.29326126853667783</v>
      </c>
    </row>
    <row r="34" spans="6:23">
      <c r="H34" s="55">
        <v>2</v>
      </c>
      <c r="I34" s="56">
        <v>1</v>
      </c>
      <c r="J34" s="56">
        <v>1</v>
      </c>
      <c r="K34" s="57">
        <v>9.9042735781241102</v>
      </c>
      <c r="L34" s="57">
        <v>0</v>
      </c>
      <c r="M34" s="57">
        <v>-3.2783204774351402</v>
      </c>
      <c r="N34" s="57">
        <v>0</v>
      </c>
      <c r="O34" s="57">
        <v>0</v>
      </c>
      <c r="P34" s="57">
        <v>0</v>
      </c>
      <c r="S34" s="53">
        <v>0.5757657808273613</v>
      </c>
    </row>
    <row r="35" spans="6:23">
      <c r="H35" s="55">
        <v>3</v>
      </c>
      <c r="I35" s="56">
        <v>1</v>
      </c>
      <c r="J35" s="56">
        <v>1</v>
      </c>
      <c r="K35" s="57">
        <v>0</v>
      </c>
      <c r="L35" s="57">
        <v>0</v>
      </c>
      <c r="M35" s="57">
        <v>3.68017793076476</v>
      </c>
      <c r="N35" s="57">
        <v>0</v>
      </c>
      <c r="O35" s="57">
        <v>-1.93503777030206</v>
      </c>
      <c r="P35" s="57">
        <v>0</v>
      </c>
      <c r="S35" s="53">
        <v>0.29763769265723561</v>
      </c>
    </row>
    <row r="36" spans="6:23">
      <c r="H36" s="55">
        <v>4</v>
      </c>
      <c r="I36" s="56">
        <v>2</v>
      </c>
      <c r="J36" s="56">
        <v>2</v>
      </c>
      <c r="K36" s="57">
        <v>0</v>
      </c>
      <c r="L36" s="57">
        <v>0</v>
      </c>
      <c r="M36" s="57">
        <v>1.17148199566441</v>
      </c>
      <c r="N36" s="57">
        <v>-3.1093265920374198</v>
      </c>
      <c r="O36" s="57">
        <v>0</v>
      </c>
      <c r="P36" s="57">
        <v>5.4732323429833603</v>
      </c>
      <c r="R36" s="1"/>
      <c r="S36" s="19">
        <v>0.4650767382044006</v>
      </c>
      <c r="T36" s="1"/>
      <c r="U36" s="1"/>
      <c r="V36" s="1"/>
      <c r="W36" s="1"/>
    </row>
    <row r="37" spans="6:23">
      <c r="H37" s="55">
        <v>5</v>
      </c>
      <c r="I37" s="56">
        <v>3</v>
      </c>
      <c r="J37" s="56">
        <v>3</v>
      </c>
      <c r="K37" s="57">
        <v>4.8085392593805798</v>
      </c>
      <c r="L37" s="57">
        <v>-2.3220186816543502</v>
      </c>
      <c r="M37" s="57">
        <v>0</v>
      </c>
      <c r="N37" s="57">
        <v>6.5993826321450699</v>
      </c>
      <c r="O37" s="57">
        <v>0</v>
      </c>
      <c r="P37" s="57">
        <v>0</v>
      </c>
      <c r="S37" s="53">
        <v>1.2639538987439054</v>
      </c>
    </row>
    <row r="38" spans="6:23">
      <c r="H38" s="55">
        <v>6</v>
      </c>
      <c r="I38" s="56">
        <v>3</v>
      </c>
      <c r="J38" s="56">
        <v>4</v>
      </c>
      <c r="K38" s="57">
        <v>0</v>
      </c>
      <c r="L38" s="57">
        <v>5.2197399853786397</v>
      </c>
      <c r="M38" s="57">
        <v>0</v>
      </c>
      <c r="N38" s="57">
        <v>0</v>
      </c>
      <c r="O38" s="57">
        <v>1.0817945982081201</v>
      </c>
      <c r="P38" s="57">
        <v>-4.2103101763053097</v>
      </c>
      <c r="S38" s="53">
        <v>0.63286421392513237</v>
      </c>
    </row>
    <row r="39" spans="6:23">
      <c r="H39" s="55">
        <v>7</v>
      </c>
      <c r="I39" s="56">
        <v>1</v>
      </c>
      <c r="J39" s="56">
        <v>1</v>
      </c>
      <c r="K39" s="57">
        <v>0</v>
      </c>
      <c r="L39" s="57">
        <v>-1.80924034829098</v>
      </c>
      <c r="M39" s="57">
        <v>0</v>
      </c>
      <c r="N39" s="57">
        <v>3.7820988705844898</v>
      </c>
      <c r="O39" s="57">
        <v>0</v>
      </c>
      <c r="P39" s="57">
        <v>0</v>
      </c>
      <c r="S39" s="53">
        <v>0.31168873326107177</v>
      </c>
    </row>
    <row r="40" spans="6:23">
      <c r="H40" s="55">
        <v>8</v>
      </c>
      <c r="I40" s="56">
        <v>1</v>
      </c>
      <c r="J40" s="56">
        <v>1</v>
      </c>
      <c r="K40" s="57">
        <v>17.490109282111298</v>
      </c>
      <c r="L40" s="57">
        <v>0</v>
      </c>
      <c r="M40" s="57">
        <v>-3.6801728672684701</v>
      </c>
      <c r="N40" s="57">
        <v>0</v>
      </c>
      <c r="O40" s="57">
        <v>0</v>
      </c>
      <c r="P40" s="57">
        <v>0</v>
      </c>
      <c r="S40" s="53">
        <v>1.3658827098369288</v>
      </c>
    </row>
    <row r="41" spans="6:23">
      <c r="H41" s="55">
        <v>9</v>
      </c>
      <c r="I41" s="56">
        <v>1</v>
      </c>
      <c r="J41" s="56">
        <v>1</v>
      </c>
      <c r="K41" s="57">
        <v>0</v>
      </c>
      <c r="L41" s="57">
        <v>3.1662117592799799</v>
      </c>
      <c r="M41" s="57">
        <v>0</v>
      </c>
      <c r="N41" s="57">
        <v>0</v>
      </c>
      <c r="O41" s="57">
        <v>0</v>
      </c>
      <c r="P41" s="57">
        <v>-2.5822444575364001</v>
      </c>
      <c r="S41" s="53">
        <v>0.27386384758273857</v>
      </c>
    </row>
    <row r="42" spans="6:23">
      <c r="H42" s="55">
        <v>10</v>
      </c>
      <c r="I42" s="56">
        <v>2</v>
      </c>
      <c r="J42" s="56">
        <v>2</v>
      </c>
      <c r="K42" s="57">
        <v>0</v>
      </c>
      <c r="L42" s="57">
        <v>0</v>
      </c>
      <c r="M42" s="57">
        <v>0.78389343190134497</v>
      </c>
      <c r="N42" s="57">
        <v>-2.9131136569859502</v>
      </c>
      <c r="O42" s="57">
        <v>0</v>
      </c>
      <c r="P42" s="57">
        <v>4.9027648260490198</v>
      </c>
      <c r="S42" s="53">
        <v>0.34914351579706304</v>
      </c>
    </row>
    <row r="43" spans="6:23">
      <c r="H43" s="55">
        <v>11</v>
      </c>
      <c r="I43" s="56">
        <v>3</v>
      </c>
      <c r="J43" s="56">
        <v>4</v>
      </c>
      <c r="K43" s="57">
        <v>-5.1062334759296597</v>
      </c>
      <c r="L43" s="57">
        <v>0.93277301965898096</v>
      </c>
      <c r="M43" s="57">
        <v>0</v>
      </c>
      <c r="N43" s="57">
        <v>0</v>
      </c>
      <c r="O43" s="57">
        <v>6.4789032831356099</v>
      </c>
      <c r="P43" s="57">
        <v>0</v>
      </c>
      <c r="S43" s="53">
        <v>0.66440382397957964</v>
      </c>
    </row>
    <row r="44" spans="6:23">
      <c r="H44" s="55">
        <v>12</v>
      </c>
      <c r="I44" s="56">
        <v>3</v>
      </c>
      <c r="J44" s="56">
        <v>5</v>
      </c>
      <c r="K44" s="57">
        <v>0</v>
      </c>
      <c r="L44" s="57">
        <v>0</v>
      </c>
      <c r="M44" s="57">
        <v>7.3189876971633296</v>
      </c>
      <c r="N44" s="57">
        <v>0</v>
      </c>
      <c r="O44" s="57">
        <v>-2.6975753228351702</v>
      </c>
      <c r="P44" s="57">
        <v>1.74265800249307</v>
      </c>
      <c r="S44" s="53">
        <v>1.0455812286891681</v>
      </c>
    </row>
  </sheetData>
  <mergeCells count="13">
    <mergeCell ref="U4:V4"/>
    <mergeCell ref="K20:P20"/>
    <mergeCell ref="AB1:AC1"/>
    <mergeCell ref="S3:T3"/>
    <mergeCell ref="U3:V3"/>
    <mergeCell ref="Q4:R4"/>
    <mergeCell ref="S4:T4"/>
    <mergeCell ref="T19:U19"/>
    <mergeCell ref="G4:H4"/>
    <mergeCell ref="I4:J4"/>
    <mergeCell ref="K4:L4"/>
    <mergeCell ref="M4:N4"/>
    <mergeCell ref="O4:P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3F29-C7B0-2349-96D2-603AE392D35B}">
  <sheetPr>
    <tabColor rgb="FF00B0F0"/>
  </sheetPr>
  <dimension ref="B1:AC85"/>
  <sheetViews>
    <sheetView showGridLines="0" tabSelected="1" topLeftCell="A7" zoomScale="120" zoomScaleNormal="120" workbookViewId="0">
      <selection activeCell="Q21" sqref="Q21:Q26"/>
    </sheetView>
  </sheetViews>
  <sheetFormatPr baseColWidth="10" defaultRowHeight="15.75"/>
  <cols>
    <col min="1" max="1" width="1.125" customWidth="1"/>
    <col min="2" max="2" width="8.375" customWidth="1"/>
    <col min="3" max="8" width="4.375" customWidth="1"/>
    <col min="9" max="9" width="13.625" customWidth="1"/>
    <col min="10" max="10" width="3.875" customWidth="1"/>
    <col min="11" max="15" width="7.625" customWidth="1"/>
    <col min="16" max="16" width="9" customWidth="1"/>
    <col min="17" max="18" width="7.625" customWidth="1"/>
    <col min="19" max="22" width="8.875" customWidth="1"/>
    <col min="23" max="23" width="9.875" customWidth="1"/>
    <col min="24" max="25" width="6.125" style="1" customWidth="1"/>
    <col min="26" max="26" width="12.625" bestFit="1" customWidth="1"/>
    <col min="27" max="27" width="10.875" customWidth="1"/>
    <col min="28" max="28" width="5.125" customWidth="1"/>
  </cols>
  <sheetData>
    <row r="1" spans="2:29">
      <c r="AB1" s="64" t="s">
        <v>29</v>
      </c>
      <c r="AC1" s="64"/>
    </row>
    <row r="2" spans="2:29">
      <c r="AB2" s="45" t="s">
        <v>30</v>
      </c>
      <c r="AC2" s="9">
        <v>0.14000000000000001</v>
      </c>
    </row>
    <row r="3" spans="2:29">
      <c r="S3" s="65" t="s">
        <v>45</v>
      </c>
      <c r="T3" s="65"/>
      <c r="U3" s="65" t="s">
        <v>46</v>
      </c>
      <c r="V3" s="65"/>
      <c r="AB3" s="45" t="s">
        <v>31</v>
      </c>
      <c r="AC3" s="9">
        <v>0.02</v>
      </c>
    </row>
    <row r="4" spans="2:29">
      <c r="B4" s="3" t="s">
        <v>20</v>
      </c>
      <c r="C4" s="3" t="s">
        <v>24</v>
      </c>
      <c r="D4" s="3"/>
      <c r="E4" s="3" t="s">
        <v>24</v>
      </c>
      <c r="F4" s="3"/>
      <c r="G4" s="61" t="s">
        <v>27</v>
      </c>
      <c r="H4" s="61"/>
      <c r="I4" s="61" t="s">
        <v>27</v>
      </c>
      <c r="J4" s="61"/>
      <c r="K4" s="61" t="s">
        <v>13</v>
      </c>
      <c r="L4" s="61"/>
      <c r="M4" s="61" t="s">
        <v>14</v>
      </c>
      <c r="N4" s="61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25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47</v>
      </c>
      <c r="Y5" s="4" t="s">
        <v>4</v>
      </c>
      <c r="Z5" s="23" t="s">
        <v>12</v>
      </c>
      <c r="AC5" s="24" t="s">
        <v>28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4.99369553541408</v>
      </c>
      <c r="L6" s="25">
        <v>0.81941997771886399</v>
      </c>
      <c r="M6" s="25">
        <v>5.2130821154335401</v>
      </c>
      <c r="N6" s="25">
        <v>1.04699092948913</v>
      </c>
      <c r="O6" s="37">
        <v>2.4198556495023702</v>
      </c>
      <c r="P6" s="31">
        <v>2.93926369586231</v>
      </c>
      <c r="Q6" s="32">
        <v>2.3823813307753099</v>
      </c>
      <c r="R6" s="32">
        <v>2.65258900451615</v>
      </c>
      <c r="S6" s="28">
        <v>271.53505780499199</v>
      </c>
      <c r="T6" s="28">
        <v>279.39567902267601</v>
      </c>
      <c r="U6" s="28">
        <v>272.33131954437101</v>
      </c>
      <c r="V6" s="28">
        <v>281.68539569519299</v>
      </c>
      <c r="W6" s="32">
        <v>-0.20174528091333699</v>
      </c>
      <c r="X6" s="20">
        <v>2</v>
      </c>
      <c r="Y6" s="20">
        <v>1</v>
      </c>
      <c r="Z6" s="32">
        <v>-2.4208304451169398</v>
      </c>
      <c r="AA6">
        <v>2.2190851642035998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2.7750528410720801</v>
      </c>
      <c r="L7" s="26">
        <v>1.03774168958248</v>
      </c>
      <c r="M7" s="26">
        <v>3.0055624570558899</v>
      </c>
      <c r="N7" s="26">
        <v>1.2749251903227401</v>
      </c>
      <c r="O7" s="39">
        <v>2.5921016309279299</v>
      </c>
      <c r="P7" s="33">
        <v>5.5708124195275497</v>
      </c>
      <c r="Q7" s="34">
        <v>2.5137509147613</v>
      </c>
      <c r="R7" s="34">
        <v>4.76839968559797</v>
      </c>
      <c r="S7" s="29">
        <v>272.86906267278403</v>
      </c>
      <c r="T7" s="29">
        <v>277.69211387785703</v>
      </c>
      <c r="U7" s="29">
        <v>274.46500163868097</v>
      </c>
      <c r="V7" s="29">
        <v>280.57527290467698</v>
      </c>
      <c r="W7" s="34">
        <v>-0.330161369875977</v>
      </c>
      <c r="X7" s="21">
        <v>4</v>
      </c>
      <c r="Y7" s="21">
        <v>2</v>
      </c>
      <c r="Z7" s="34">
        <v>-2.8132502644092501</v>
      </c>
      <c r="AA7">
        <v>2.4830888945332799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4.5680303446839297</v>
      </c>
      <c r="L8" s="26">
        <v>2.2468792654099898</v>
      </c>
      <c r="M8" s="26">
        <v>4.7673815476103503</v>
      </c>
      <c r="N8" s="26">
        <v>2.4489091774686398</v>
      </c>
      <c r="O8" s="39">
        <v>1.6615561712812701</v>
      </c>
      <c r="P8" s="33">
        <v>2.8243458766258902</v>
      </c>
      <c r="Q8" s="34">
        <v>1.6434810430190101</v>
      </c>
      <c r="R8" s="34">
        <v>2.7249057582615999</v>
      </c>
      <c r="S8" s="29">
        <v>272.059266794564</v>
      </c>
      <c r="T8" s="29">
        <v>274.18938946975902</v>
      </c>
      <c r="U8" s="29">
        <v>272.88266569008698</v>
      </c>
      <c r="V8" s="29">
        <v>275.61838326911197</v>
      </c>
      <c r="W8" s="34">
        <v>-0.113915124049891</v>
      </c>
      <c r="X8" s="21">
        <v>6</v>
      </c>
      <c r="Y8" s="21">
        <v>3</v>
      </c>
      <c r="Z8" s="34">
        <v>-4.6311966146620804</v>
      </c>
      <c r="AA8">
        <v>4.5172814906121896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0.956272817526295</v>
      </c>
      <c r="L9" s="26">
        <v>0.18351617502777101</v>
      </c>
      <c r="M9" s="26">
        <v>1.23336438851312</v>
      </c>
      <c r="N9" s="26">
        <v>0.75458803687115605</v>
      </c>
      <c r="O9" s="34">
        <v>2.4589095597039301</v>
      </c>
      <c r="P9" s="35">
        <v>-26.1567489555888</v>
      </c>
      <c r="Q9" s="39">
        <v>2.24616609413899</v>
      </c>
      <c r="R9" s="34">
        <v>6.0409597033869904</v>
      </c>
      <c r="S9" s="29">
        <v>277.27749095451901</v>
      </c>
      <c r="T9" s="29">
        <v>274.36462167229098</v>
      </c>
      <c r="U9" s="29">
        <v>280.76247494760298</v>
      </c>
      <c r="V9" s="29">
        <v>282.94127190478002</v>
      </c>
      <c r="W9" s="42">
        <v>-2.7693621834472499</v>
      </c>
      <c r="X9" s="21">
        <v>1</v>
      </c>
      <c r="Y9" s="21">
        <v>1</v>
      </c>
      <c r="Z9" s="34">
        <v>-2.2104911061785399</v>
      </c>
      <c r="AA9">
        <v>-0.55887107726871099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2.53319051677527</v>
      </c>
      <c r="L10" s="26">
        <v>0.61920712427605096</v>
      </c>
      <c r="M10" s="26">
        <v>2.7676300354769801</v>
      </c>
      <c r="N10" s="26">
        <v>0.90163822996824805</v>
      </c>
      <c r="O10" s="34">
        <v>2.9009360298039302</v>
      </c>
      <c r="P10" s="44">
        <v>6.1242826952392697</v>
      </c>
      <c r="Q10" s="39">
        <v>2.7934300498087401</v>
      </c>
      <c r="R10" s="36">
        <v>4.5787467516253102</v>
      </c>
      <c r="S10" s="29">
        <v>274.28422228755301</v>
      </c>
      <c r="T10" s="29">
        <v>281.342239405025</v>
      </c>
      <c r="U10" s="29">
        <v>275.91680439891701</v>
      </c>
      <c r="V10" s="29">
        <v>284.400621765822</v>
      </c>
      <c r="W10" s="42">
        <v>-0.55808696516542999</v>
      </c>
      <c r="X10" s="21">
        <v>3</v>
      </c>
      <c r="Y10" s="21">
        <v>2</v>
      </c>
      <c r="Z10" s="34">
        <v>-2.4960407653255698</v>
      </c>
      <c r="AA10">
        <v>1.93795380016014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0.87257388038814698</v>
      </c>
      <c r="L11" s="26">
        <v>0.77634494206567795</v>
      </c>
      <c r="M11" s="26">
        <v>1.1273117550535601</v>
      </c>
      <c r="N11" s="26">
        <v>0.24751487721888599</v>
      </c>
      <c r="O11" s="34">
        <v>4.6821308637508396</v>
      </c>
      <c r="P11" s="44">
        <v>2.6647028301328799</v>
      </c>
      <c r="Q11" s="39">
        <v>3.9783456200974499</v>
      </c>
      <c r="R11" s="36">
        <v>4.86990509840349</v>
      </c>
      <c r="S11" s="29">
        <v>279.76305459266399</v>
      </c>
      <c r="T11" s="51">
        <v>458.80355998950898</v>
      </c>
      <c r="U11" s="29">
        <v>282.87503584047801</v>
      </c>
      <c r="V11" s="29">
        <v>290.41248652365198</v>
      </c>
      <c r="W11" s="34">
        <v>1.62479145109326</v>
      </c>
      <c r="X11" s="21">
        <v>5</v>
      </c>
      <c r="Y11" s="21">
        <v>3</v>
      </c>
      <c r="Z11" s="42">
        <v>-1.41180264048991</v>
      </c>
      <c r="AA11">
        <v>3.03659409158317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1.03774345191879</v>
      </c>
      <c r="L12" s="25">
        <v>0.61920439519786596</v>
      </c>
      <c r="M12" s="25">
        <v>1.28365126223563</v>
      </c>
      <c r="N12" s="25">
        <v>0.257807415759777</v>
      </c>
      <c r="O12" s="32">
        <v>5.5708047013111397</v>
      </c>
      <c r="P12" s="32">
        <v>3.3511039222320398</v>
      </c>
      <c r="Q12" s="37">
        <v>4.7456997913586303</v>
      </c>
      <c r="R12" s="38">
        <v>5.9122269168042001</v>
      </c>
      <c r="S12" s="28">
        <v>277.692114684562</v>
      </c>
      <c r="T12" s="50">
        <v>461.342265799833</v>
      </c>
      <c r="U12" s="28">
        <v>280.791730348643</v>
      </c>
      <c r="V12" s="28">
        <v>290.145806503698</v>
      </c>
      <c r="W12" s="32">
        <v>1.43419846048968</v>
      </c>
      <c r="X12" s="20">
        <v>2</v>
      </c>
      <c r="Y12" s="20">
        <v>1</v>
      </c>
      <c r="Z12" s="43">
        <v>-1.3391162805101799</v>
      </c>
      <c r="AA12">
        <v>2.7733147409998602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2.2468877799199598</v>
      </c>
      <c r="L13" s="26">
        <v>0.77634878048617895</v>
      </c>
      <c r="M13" s="26">
        <v>2.4892119668145201</v>
      </c>
      <c r="N13" s="26">
        <v>1.0558952243975801</v>
      </c>
      <c r="O13" s="39">
        <v>2.82434134423734</v>
      </c>
      <c r="P13" s="33">
        <v>7.2922928986111604</v>
      </c>
      <c r="Q13" s="34">
        <v>2.70681922009071</v>
      </c>
      <c r="R13" s="34">
        <v>5.4930818307662701</v>
      </c>
      <c r="S13" s="29">
        <v>274.18934862928398</v>
      </c>
      <c r="T13" s="29">
        <v>278.80351843306602</v>
      </c>
      <c r="U13" s="29">
        <v>276.06838548929699</v>
      </c>
      <c r="V13" s="29">
        <v>282.17865678320197</v>
      </c>
      <c r="W13" s="34">
        <v>-0.54091276834319502</v>
      </c>
      <c r="X13" s="21">
        <v>4</v>
      </c>
      <c r="Y13" s="21">
        <v>2</v>
      </c>
      <c r="Z13" s="34">
        <v>-2.5273593925135902</v>
      </c>
      <c r="AA13">
        <v>1.98644662417039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0.81942512166657699</v>
      </c>
      <c r="L14" s="26">
        <v>0.18351076809703701</v>
      </c>
      <c r="M14" s="26">
        <v>1.0991359721237499</v>
      </c>
      <c r="N14" s="26">
        <v>0.56460430915301996</v>
      </c>
      <c r="O14" s="34">
        <v>2.9392555792490298</v>
      </c>
      <c r="P14" s="35">
        <v>-81.423728068475995</v>
      </c>
      <c r="Q14" s="39">
        <v>2.6021090804388902</v>
      </c>
      <c r="R14" s="36">
        <v>6.6752291587284098</v>
      </c>
      <c r="S14" s="29">
        <v>279.395646260116</v>
      </c>
      <c r="T14" s="51">
        <v>454.36466944120599</v>
      </c>
      <c r="U14" s="29">
        <v>282.78444363576801</v>
      </c>
      <c r="V14" s="29">
        <v>285.52016119035</v>
      </c>
      <c r="W14" s="34">
        <v>-2.0194573841002299</v>
      </c>
      <c r="X14" s="21">
        <v>6</v>
      </c>
      <c r="Y14" s="21">
        <v>3</v>
      </c>
      <c r="Z14" s="42">
        <v>-1.8482986031311299</v>
      </c>
      <c r="AA14">
        <v>-0.171158780969107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4.2734632641725998</v>
      </c>
      <c r="L15" s="26">
        <v>2.53318288015614</v>
      </c>
      <c r="M15" s="26">
        <v>4.47740680119544</v>
      </c>
      <c r="N15" s="26">
        <v>2.7393344843493699</v>
      </c>
      <c r="O15" s="39">
        <v>1.5719399875761499</v>
      </c>
      <c r="P15" s="33">
        <v>2.90093982891407</v>
      </c>
      <c r="Q15" s="34">
        <v>1.5542115499265501</v>
      </c>
      <c r="R15" s="34">
        <v>2.80551054311944</v>
      </c>
      <c r="S15" s="29">
        <v>272.53805085253498</v>
      </c>
      <c r="T15" s="29">
        <v>274.28424759704097</v>
      </c>
      <c r="U15" s="29">
        <v>273.425155947554</v>
      </c>
      <c r="V15" s="29">
        <v>275.60395287729801</v>
      </c>
      <c r="W15" s="34">
        <v>-0.120429247885807</v>
      </c>
      <c r="X15" s="21">
        <v>1</v>
      </c>
      <c r="Y15" s="21">
        <v>1</v>
      </c>
      <c r="Z15" s="34">
        <v>-5.5079768169225201</v>
      </c>
      <c r="AA15">
        <v>5.3875475690367098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3.1875823977202198</v>
      </c>
      <c r="L16" s="26">
        <v>0.872572002009109</v>
      </c>
      <c r="M16" s="26">
        <v>3.4205390479292199</v>
      </c>
      <c r="N16" s="26">
        <v>1.1143428616239801</v>
      </c>
      <c r="O16" s="34">
        <v>2.6370898991117202</v>
      </c>
      <c r="P16" s="34">
        <v>4.6821378070619497</v>
      </c>
      <c r="Q16" s="39">
        <v>2.5652549319377602</v>
      </c>
      <c r="R16" s="36">
        <v>4.0056110493435</v>
      </c>
      <c r="S16" s="29">
        <v>272.66059266801398</v>
      </c>
      <c r="T16" s="29">
        <v>279.76305725420502</v>
      </c>
      <c r="U16" s="29">
        <v>274.05610742019002</v>
      </c>
      <c r="V16" s="29">
        <v>282.539924795437</v>
      </c>
      <c r="W16" s="42">
        <v>-0.33115615355674399</v>
      </c>
      <c r="X16" s="21">
        <v>3</v>
      </c>
      <c r="Y16" s="21">
        <v>2</v>
      </c>
      <c r="Z16" s="34">
        <v>-2.7474056023729099</v>
      </c>
      <c r="AA16">
        <v>2.4162494488161599</v>
      </c>
    </row>
    <row r="17" spans="2:27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5.13346642237099</v>
      </c>
      <c r="L17" s="27">
        <v>0.95626662527754402</v>
      </c>
      <c r="M17" s="27">
        <v>5.3437984060568002</v>
      </c>
      <c r="N17" s="27">
        <v>1.1732953203352701</v>
      </c>
      <c r="O17" s="47">
        <v>2.0877764203701399</v>
      </c>
      <c r="P17" s="40">
        <v>2.4589154712991199</v>
      </c>
      <c r="Q17" s="41">
        <v>2.0614215716281201</v>
      </c>
      <c r="R17" s="41">
        <v>2.2850379829893201</v>
      </c>
      <c r="S17" s="30">
        <v>271.35219082979899</v>
      </c>
      <c r="T17" s="30">
        <v>277.27753564414297</v>
      </c>
      <c r="U17" s="30">
        <v>272.10838495991902</v>
      </c>
      <c r="V17" s="30">
        <v>279.64583564687803</v>
      </c>
      <c r="W17" s="41">
        <v>-0.17074040155648201</v>
      </c>
      <c r="X17" s="22">
        <v>5</v>
      </c>
      <c r="Y17" s="22">
        <v>3</v>
      </c>
      <c r="Z17" s="41">
        <v>-2.9021521636488399</v>
      </c>
      <c r="AA17">
        <v>2.7314117620923599</v>
      </c>
    </row>
    <row r="18" spans="2:27">
      <c r="W18" s="1"/>
    </row>
    <row r="19" spans="2:27">
      <c r="T19" s="65" t="s">
        <v>22</v>
      </c>
      <c r="U19" s="65"/>
      <c r="W19" s="1"/>
    </row>
    <row r="20" spans="2:27">
      <c r="B20" t="s">
        <v>38</v>
      </c>
      <c r="C20" t="s">
        <v>23</v>
      </c>
      <c r="K20" s="63" t="s">
        <v>0</v>
      </c>
      <c r="L20" s="63"/>
      <c r="M20" s="63"/>
      <c r="N20" s="63"/>
      <c r="O20" s="63"/>
      <c r="P20" s="63"/>
      <c r="Q20" s="10" t="s">
        <v>2</v>
      </c>
      <c r="S20" s="10" t="s">
        <v>1</v>
      </c>
      <c r="W20" s="1"/>
    </row>
    <row r="21" spans="2:27">
      <c r="B21" s="9">
        <v>3</v>
      </c>
      <c r="C21" t="s">
        <v>41</v>
      </c>
      <c r="F21" s="49" t="s">
        <v>44</v>
      </c>
      <c r="J21">
        <v>1</v>
      </c>
      <c r="K21" s="11">
        <f>-W9</f>
        <v>2.7693621834472499</v>
      </c>
      <c r="L21" s="12">
        <f>-Q9</f>
        <v>-2.24616609413899</v>
      </c>
      <c r="M21" s="13">
        <v>0</v>
      </c>
      <c r="N21" s="14">
        <f>R9</f>
        <v>6.0409597033869904</v>
      </c>
      <c r="O21" s="13">
        <v>0</v>
      </c>
      <c r="P21" s="13">
        <v>0</v>
      </c>
      <c r="Q21" s="18">
        <v>0.11292431200074263</v>
      </c>
      <c r="S21" s="19">
        <f t="array" ref="S21:S32">MMULT(K21:P32,Q21:Q26)</f>
        <v>0.9470718415299737</v>
      </c>
      <c r="T21" s="46" t="s">
        <v>32</v>
      </c>
      <c r="U21" s="2">
        <f>Q22*O15</f>
        <v>0.33338675036913951</v>
      </c>
      <c r="V21" s="8"/>
      <c r="W21" s="8"/>
    </row>
    <row r="22" spans="2:27">
      <c r="B22" s="9">
        <v>1</v>
      </c>
      <c r="C22" t="s">
        <v>43</v>
      </c>
      <c r="F22" s="49"/>
      <c r="J22">
        <v>2</v>
      </c>
      <c r="K22" s="15">
        <f>-O6</f>
        <v>-2.4198556495023702</v>
      </c>
      <c r="L22" s="13">
        <v>0</v>
      </c>
      <c r="M22" s="13">
        <v>0</v>
      </c>
      <c r="N22" s="13">
        <v>0</v>
      </c>
      <c r="O22" s="16">
        <f>P6</f>
        <v>2.93926369586231</v>
      </c>
      <c r="P22" s="13">
        <v>0</v>
      </c>
      <c r="Q22" s="18">
        <v>0.21208618204515847</v>
      </c>
      <c r="S22" s="19">
        <v>0.19999496998193711</v>
      </c>
      <c r="T22" s="6" t="s">
        <v>33</v>
      </c>
      <c r="U22" s="1">
        <f>O6*Q21</f>
        <v>0.27326053436116537</v>
      </c>
      <c r="V22" s="9"/>
      <c r="W22" s="9"/>
    </row>
    <row r="23" spans="2:27">
      <c r="B23" s="9">
        <v>2</v>
      </c>
      <c r="C23" t="s">
        <v>42</v>
      </c>
      <c r="F23" s="49"/>
      <c r="J23">
        <v>3</v>
      </c>
      <c r="K23" s="13">
        <v>0</v>
      </c>
      <c r="L23" s="13">
        <v>0</v>
      </c>
      <c r="M23" s="11">
        <f>-W10</f>
        <v>0.55808696516542999</v>
      </c>
      <c r="N23" s="12">
        <f>-Q10</f>
        <v>-2.7934300498087401</v>
      </c>
      <c r="O23" s="13">
        <v>0</v>
      </c>
      <c r="P23" s="14">
        <f>R10</f>
        <v>4.5787467516253102</v>
      </c>
      <c r="Q23" s="18">
        <v>0.16553407200072537</v>
      </c>
      <c r="R23" s="10" t="s">
        <v>26</v>
      </c>
      <c r="S23" s="19">
        <v>0.28387057413191641</v>
      </c>
      <c r="T23" s="6" t="s">
        <v>37</v>
      </c>
      <c r="U23" s="1">
        <f>Q24*O16</f>
        <v>0.48486995634120206</v>
      </c>
      <c r="V23" s="8"/>
      <c r="W23" s="8"/>
    </row>
    <row r="24" spans="2:27">
      <c r="B24" s="9">
        <v>1</v>
      </c>
      <c r="C24" t="s">
        <v>43</v>
      </c>
      <c r="F24" s="49"/>
      <c r="J24">
        <v>4</v>
      </c>
      <c r="K24" s="16">
        <f>P7</f>
        <v>5.5708124195275497</v>
      </c>
      <c r="L24" s="13">
        <v>0</v>
      </c>
      <c r="M24" s="15">
        <f>-O7</f>
        <v>-2.5921016309279299</v>
      </c>
      <c r="N24" s="13">
        <v>0</v>
      </c>
      <c r="O24" s="13">
        <v>0</v>
      </c>
      <c r="P24" s="13">
        <v>0</v>
      </c>
      <c r="Q24" s="18">
        <v>0.18386553924632076</v>
      </c>
      <c r="S24" s="19">
        <v>0.19999902175311934</v>
      </c>
      <c r="T24" s="6" t="s">
        <v>34</v>
      </c>
      <c r="U24" s="1">
        <f>O7*Q23</f>
        <v>0.42908113800722159</v>
      </c>
      <c r="V24" s="9"/>
      <c r="W24" s="9"/>
    </row>
    <row r="25" spans="2:27">
      <c r="B25" s="9">
        <v>4</v>
      </c>
      <c r="C25" t="s">
        <v>41</v>
      </c>
      <c r="F25" s="49" t="s">
        <v>39</v>
      </c>
      <c r="J25">
        <v>5</v>
      </c>
      <c r="K25" s="13">
        <v>0</v>
      </c>
      <c r="L25" s="14">
        <f>R11</f>
        <v>4.86990509840349</v>
      </c>
      <c r="M25" s="13">
        <v>0</v>
      </c>
      <c r="N25" s="13">
        <v>0</v>
      </c>
      <c r="O25" s="11">
        <f>-Z11</f>
        <v>1.41180264048991</v>
      </c>
      <c r="P25" s="17">
        <f>-Q11</f>
        <v>-3.9783456200974499</v>
      </c>
      <c r="Q25" s="18">
        <v>0.16101158429892443</v>
      </c>
      <c r="S25" s="19">
        <v>0.64751118792227802</v>
      </c>
      <c r="T25" s="6" t="s">
        <v>36</v>
      </c>
      <c r="U25" s="1">
        <f>O17*Q26</f>
        <v>0.3215069395763045</v>
      </c>
      <c r="V25" s="8"/>
      <c r="W25" s="8"/>
    </row>
    <row r="26" spans="2:27">
      <c r="B26" s="9">
        <v>1</v>
      </c>
      <c r="C26" t="s">
        <v>43</v>
      </c>
      <c r="F26" s="49"/>
      <c r="J26">
        <v>6</v>
      </c>
      <c r="K26" s="13">
        <v>0</v>
      </c>
      <c r="L26" s="13">
        <v>0</v>
      </c>
      <c r="M26" s="16">
        <f>P8</f>
        <v>2.8243458766258902</v>
      </c>
      <c r="N26" s="13">
        <v>0</v>
      </c>
      <c r="O26" s="15">
        <f>-O8</f>
        <v>-1.6615561712812701</v>
      </c>
      <c r="P26" s="13">
        <v>0</v>
      </c>
      <c r="Q26" s="18">
        <v>0.15399490886064554</v>
      </c>
      <c r="S26" s="19">
        <v>0.19999568215668956</v>
      </c>
      <c r="T26" s="6" t="s">
        <v>35</v>
      </c>
      <c r="U26" s="4">
        <f>O8*Q25</f>
        <v>0.26752979153965234</v>
      </c>
    </row>
    <row r="27" spans="2:27">
      <c r="B27" s="9">
        <v>4</v>
      </c>
      <c r="C27" t="s">
        <v>41</v>
      </c>
      <c r="F27" s="49" t="s">
        <v>39</v>
      </c>
      <c r="J27">
        <v>7</v>
      </c>
      <c r="K27" s="12">
        <f>-Q12</f>
        <v>-4.7456997913586303</v>
      </c>
      <c r="L27" s="11">
        <f>-Z12</f>
        <v>1.3391162805101799</v>
      </c>
      <c r="M27" s="13">
        <v>0</v>
      </c>
      <c r="N27" s="13">
        <v>0</v>
      </c>
      <c r="O27" s="14">
        <f>R12</f>
        <v>5.9122269168042001</v>
      </c>
      <c r="P27" s="13">
        <v>0</v>
      </c>
      <c r="S27" s="19">
        <v>0.70004019795606587</v>
      </c>
      <c r="T27" s="6" t="s">
        <v>21</v>
      </c>
      <c r="U27" s="7">
        <f>SUM(U21:U26)</f>
        <v>2.1096351101946853</v>
      </c>
    </row>
    <row r="28" spans="2:27">
      <c r="B28" s="9">
        <v>1</v>
      </c>
      <c r="C28" t="s">
        <v>43</v>
      </c>
      <c r="F28" s="49"/>
      <c r="J28">
        <v>8</v>
      </c>
      <c r="K28" s="13">
        <v>0</v>
      </c>
      <c r="L28" s="15">
        <f>-O15</f>
        <v>-1.5719399875761499</v>
      </c>
      <c r="M28" s="13">
        <v>0</v>
      </c>
      <c r="N28" s="16">
        <f>P15</f>
        <v>2.90093982891407</v>
      </c>
      <c r="O28" s="13">
        <v>0</v>
      </c>
      <c r="P28" s="13">
        <v>0</v>
      </c>
      <c r="S28" s="19">
        <v>0.19999611559527547</v>
      </c>
    </row>
    <row r="29" spans="2:27">
      <c r="B29" s="9">
        <v>2</v>
      </c>
      <c r="C29" t="s">
        <v>42</v>
      </c>
      <c r="F29" s="49"/>
      <c r="J29">
        <v>9</v>
      </c>
      <c r="K29" s="13">
        <v>0</v>
      </c>
      <c r="L29" s="13">
        <v>0</v>
      </c>
      <c r="M29" s="11">
        <f>-W16</f>
        <v>0.33115615355674399</v>
      </c>
      <c r="N29" s="12">
        <f>-Q16</f>
        <v>-2.5652549319377602</v>
      </c>
      <c r="O29" s="13">
        <v>0</v>
      </c>
      <c r="P29" s="14">
        <f>R16</f>
        <v>4.0056110493435</v>
      </c>
      <c r="S29" s="19">
        <v>0.19999935367617222</v>
      </c>
    </row>
    <row r="30" spans="2:27">
      <c r="B30" s="9">
        <v>1</v>
      </c>
      <c r="C30" t="s">
        <v>43</v>
      </c>
      <c r="F30" s="49"/>
      <c r="J30">
        <v>10</v>
      </c>
      <c r="K30" s="16">
        <f>P13</f>
        <v>7.2922928986111604</v>
      </c>
      <c r="L30" s="13">
        <v>0</v>
      </c>
      <c r="M30" s="15">
        <f>-O13</f>
        <v>-2.82434134423734</v>
      </c>
      <c r="N30" s="13">
        <v>0</v>
      </c>
      <c r="O30" s="13">
        <v>0</v>
      </c>
      <c r="P30" s="13">
        <v>0</v>
      </c>
      <c r="S30" s="19">
        <v>0.35595243505195723</v>
      </c>
    </row>
    <row r="31" spans="2:27">
      <c r="B31" s="9">
        <v>5</v>
      </c>
      <c r="C31" t="s">
        <v>41</v>
      </c>
      <c r="F31" s="49" t="s">
        <v>40</v>
      </c>
      <c r="J31">
        <v>11</v>
      </c>
      <c r="K31" s="13">
        <v>0</v>
      </c>
      <c r="L31" s="13">
        <v>0</v>
      </c>
      <c r="M31" s="14">
        <f>R14</f>
        <v>6.6752291587284098</v>
      </c>
      <c r="N31" s="13">
        <v>0</v>
      </c>
      <c r="O31" s="12">
        <f>-Q14</f>
        <v>-2.6021090804388902</v>
      </c>
      <c r="P31" s="11">
        <f>-Z14</f>
        <v>1.8482986031311299</v>
      </c>
      <c r="S31" s="19">
        <v>0.97063673355864366</v>
      </c>
    </row>
    <row r="32" spans="2:27">
      <c r="B32" s="9">
        <v>1</v>
      </c>
      <c r="C32" t="s">
        <v>43</v>
      </c>
      <c r="J32">
        <v>12</v>
      </c>
      <c r="K32" s="13">
        <v>0</v>
      </c>
      <c r="L32" s="16">
        <f>P17</f>
        <v>2.4589154712991199</v>
      </c>
      <c r="M32" s="13">
        <v>0</v>
      </c>
      <c r="N32" s="13">
        <v>0</v>
      </c>
      <c r="O32" s="13">
        <v>0</v>
      </c>
      <c r="P32" s="15">
        <f>-O17</f>
        <v>-2.0877764203701399</v>
      </c>
      <c r="Q32" s="48"/>
      <c r="S32" s="19">
        <v>0.19999505470329726</v>
      </c>
    </row>
    <row r="36" spans="18:23">
      <c r="R36" s="1"/>
      <c r="S36" s="1"/>
      <c r="T36" s="1"/>
      <c r="U36" s="1"/>
      <c r="V36" s="1"/>
      <c r="W36" s="1"/>
    </row>
    <row r="66" spans="3:27">
      <c r="C66">
        <v>5</v>
      </c>
      <c r="D66">
        <v>1</v>
      </c>
      <c r="E66">
        <v>1</v>
      </c>
      <c r="F66">
        <v>1</v>
      </c>
      <c r="G66">
        <v>3</v>
      </c>
      <c r="H66">
        <v>6</v>
      </c>
      <c r="I66">
        <v>1</v>
      </c>
      <c r="J66">
        <v>4</v>
      </c>
      <c r="K66">
        <v>4.99369553541408</v>
      </c>
      <c r="L66">
        <v>0.81941997771886399</v>
      </c>
      <c r="M66">
        <v>5.2130821154335401</v>
      </c>
      <c r="N66">
        <v>1.04699092948913</v>
      </c>
      <c r="O66">
        <v>2.4198556495023702</v>
      </c>
      <c r="P66">
        <v>2.93926369586231</v>
      </c>
      <c r="Q66">
        <v>2.3823813307753099</v>
      </c>
      <c r="R66">
        <v>2.65258900451615</v>
      </c>
      <c r="S66">
        <v>271.53505780499199</v>
      </c>
      <c r="T66">
        <v>279.39567902267601</v>
      </c>
      <c r="U66">
        <v>272.33131954437101</v>
      </c>
      <c r="V66">
        <v>281.68539569519299</v>
      </c>
      <c r="W66">
        <v>-0.20174528091333699</v>
      </c>
      <c r="X66" s="1">
        <v>2</v>
      </c>
      <c r="Y66" s="1">
        <v>1</v>
      </c>
      <c r="Z66">
        <v>-2.4208304451169398</v>
      </c>
      <c r="AA66">
        <v>2.2190851642035998</v>
      </c>
    </row>
    <row r="67" spans="3:27">
      <c r="C67">
        <v>1</v>
      </c>
      <c r="D67">
        <v>2</v>
      </c>
      <c r="E67">
        <v>3</v>
      </c>
      <c r="F67">
        <v>2</v>
      </c>
      <c r="G67">
        <v>1</v>
      </c>
      <c r="H67">
        <v>4</v>
      </c>
      <c r="I67">
        <v>2</v>
      </c>
      <c r="J67">
        <v>5</v>
      </c>
      <c r="K67">
        <v>2.7750528410720801</v>
      </c>
      <c r="L67">
        <v>1.03774168958248</v>
      </c>
      <c r="M67">
        <v>3.0055624570558899</v>
      </c>
      <c r="N67">
        <v>1.2749251903227401</v>
      </c>
      <c r="O67">
        <v>2.5921016309279299</v>
      </c>
      <c r="P67">
        <v>5.5708124195275497</v>
      </c>
      <c r="Q67">
        <v>2.5137509147613</v>
      </c>
      <c r="R67">
        <v>4.76839968559797</v>
      </c>
      <c r="S67">
        <v>272.86906267278403</v>
      </c>
      <c r="T67">
        <v>277.69211387785703</v>
      </c>
      <c r="U67">
        <v>274.46500163868097</v>
      </c>
      <c r="V67">
        <v>280.57527290467698</v>
      </c>
      <c r="W67">
        <v>-0.330161369875977</v>
      </c>
      <c r="X67" s="1">
        <v>4</v>
      </c>
      <c r="Y67" s="1">
        <v>2</v>
      </c>
      <c r="Z67">
        <v>-2.8132502644092501</v>
      </c>
      <c r="AA67">
        <v>2.4830888945332799</v>
      </c>
    </row>
    <row r="68" spans="3:27">
      <c r="C68">
        <v>3</v>
      </c>
      <c r="D68">
        <v>3</v>
      </c>
      <c r="E68">
        <v>5</v>
      </c>
      <c r="F68">
        <v>3</v>
      </c>
      <c r="G68">
        <v>2</v>
      </c>
      <c r="H68">
        <v>5</v>
      </c>
      <c r="I68">
        <v>3</v>
      </c>
      <c r="J68">
        <v>6</v>
      </c>
      <c r="K68">
        <v>4.5680303446839297</v>
      </c>
      <c r="L68">
        <v>2.2468792654099898</v>
      </c>
      <c r="M68">
        <v>4.7673815476103503</v>
      </c>
      <c r="N68">
        <v>2.4489091774686398</v>
      </c>
      <c r="O68">
        <v>1.6615561712812701</v>
      </c>
      <c r="P68">
        <v>2.8243458766258902</v>
      </c>
      <c r="Q68">
        <v>1.6434810430190101</v>
      </c>
      <c r="R68">
        <v>2.7249057582615999</v>
      </c>
      <c r="S68">
        <v>272.059266794564</v>
      </c>
      <c r="T68">
        <v>274.18938946975902</v>
      </c>
      <c r="U68">
        <v>272.88266569008698</v>
      </c>
      <c r="V68">
        <v>275.61838326911197</v>
      </c>
      <c r="W68">
        <v>-0.113915124049891</v>
      </c>
      <c r="X68" s="1">
        <v>6</v>
      </c>
      <c r="Y68" s="1">
        <v>3</v>
      </c>
      <c r="Z68">
        <v>-4.6311966146620804</v>
      </c>
      <c r="AA68">
        <v>4.5172814906121896</v>
      </c>
    </row>
    <row r="69" spans="3:27">
      <c r="C69">
        <v>4</v>
      </c>
      <c r="D69">
        <v>1</v>
      </c>
      <c r="E69">
        <v>2</v>
      </c>
      <c r="F69">
        <v>1</v>
      </c>
      <c r="G69">
        <v>3</v>
      </c>
      <c r="H69">
        <v>5</v>
      </c>
      <c r="I69">
        <v>2</v>
      </c>
      <c r="J69">
        <v>4</v>
      </c>
      <c r="K69">
        <v>0.956272817526295</v>
      </c>
      <c r="L69">
        <v>0.18351617502777101</v>
      </c>
      <c r="M69">
        <v>1.23336438851312</v>
      </c>
      <c r="N69">
        <v>0.75458803687115605</v>
      </c>
      <c r="O69">
        <v>2.4589095597039301</v>
      </c>
      <c r="P69">
        <v>-26.1567489555888</v>
      </c>
      <c r="Q69">
        <v>2.24616609413899</v>
      </c>
      <c r="R69">
        <v>6.0409597033869904</v>
      </c>
      <c r="S69">
        <v>277.27749095451901</v>
      </c>
      <c r="T69">
        <v>274.36462167229098</v>
      </c>
      <c r="U69">
        <v>280.76247494760298</v>
      </c>
      <c r="V69">
        <v>282.94127190478002</v>
      </c>
      <c r="W69">
        <v>-2.7693621834472499</v>
      </c>
      <c r="X69" s="1">
        <v>1</v>
      </c>
      <c r="Y69" s="1">
        <v>1</v>
      </c>
      <c r="Z69">
        <v>-2.2104911061785399</v>
      </c>
      <c r="AA69">
        <v>-0.55887107726871099</v>
      </c>
    </row>
    <row r="70" spans="3:27">
      <c r="C70">
        <v>6</v>
      </c>
      <c r="D70">
        <v>2</v>
      </c>
      <c r="E70">
        <v>4</v>
      </c>
      <c r="F70">
        <v>2</v>
      </c>
      <c r="G70">
        <v>1</v>
      </c>
      <c r="H70">
        <v>6</v>
      </c>
      <c r="I70">
        <v>3</v>
      </c>
      <c r="J70">
        <v>5</v>
      </c>
      <c r="K70">
        <v>2.53319051677527</v>
      </c>
      <c r="L70">
        <v>0.61920712427605096</v>
      </c>
      <c r="M70">
        <v>2.7676300354769801</v>
      </c>
      <c r="N70">
        <v>0.90163822996824805</v>
      </c>
      <c r="O70">
        <v>2.9009360298039302</v>
      </c>
      <c r="P70">
        <v>6.1242826952392697</v>
      </c>
      <c r="Q70">
        <v>2.7934300498087401</v>
      </c>
      <c r="R70">
        <v>4.5787467516253102</v>
      </c>
      <c r="S70">
        <v>274.28422228755301</v>
      </c>
      <c r="T70">
        <v>281.342239405025</v>
      </c>
      <c r="U70">
        <v>275.91680439891701</v>
      </c>
      <c r="V70">
        <v>284.400621765822</v>
      </c>
      <c r="W70">
        <v>-0.55808696516542999</v>
      </c>
      <c r="X70" s="1">
        <v>3</v>
      </c>
      <c r="Y70" s="1">
        <v>2</v>
      </c>
      <c r="Z70">
        <v>-2.4960407653255698</v>
      </c>
      <c r="AA70">
        <v>1.93795380016014</v>
      </c>
    </row>
    <row r="71" spans="3:27">
      <c r="C71">
        <v>2</v>
      </c>
      <c r="D71">
        <v>3</v>
      </c>
      <c r="E71">
        <v>6</v>
      </c>
      <c r="F71">
        <v>3</v>
      </c>
      <c r="G71">
        <v>2</v>
      </c>
      <c r="H71">
        <v>4</v>
      </c>
      <c r="I71">
        <v>1</v>
      </c>
      <c r="J71">
        <v>6</v>
      </c>
      <c r="K71">
        <v>0.87257388038814698</v>
      </c>
      <c r="L71">
        <v>0.77634494206567795</v>
      </c>
      <c r="M71">
        <v>1.1273117550535601</v>
      </c>
      <c r="N71">
        <v>0.24751487721888599</v>
      </c>
      <c r="O71">
        <v>4.6821308637508396</v>
      </c>
      <c r="P71">
        <v>2.6647028301328799</v>
      </c>
      <c r="Q71">
        <v>3.9783456200974499</v>
      </c>
      <c r="R71">
        <v>4.86990509840349</v>
      </c>
      <c r="S71">
        <v>279.76305459266399</v>
      </c>
      <c r="T71">
        <v>458.80355998950898</v>
      </c>
      <c r="U71">
        <v>282.87503584047801</v>
      </c>
      <c r="V71">
        <v>290.41248652365198</v>
      </c>
      <c r="W71">
        <v>1.62479145109326</v>
      </c>
      <c r="X71" s="1">
        <v>5</v>
      </c>
      <c r="Y71" s="1">
        <v>3</v>
      </c>
      <c r="Z71">
        <v>-1.41180264048991</v>
      </c>
      <c r="AA71">
        <v>3.03659409158317</v>
      </c>
    </row>
    <row r="73" spans="3:27">
      <c r="C73">
        <f>C12</f>
        <v>5</v>
      </c>
      <c r="D73">
        <f t="shared" ref="D73:AA73" si="0">D12</f>
        <v>1</v>
      </c>
      <c r="E73">
        <f t="shared" si="0"/>
        <v>1</v>
      </c>
      <c r="F73">
        <f t="shared" si="0"/>
        <v>1</v>
      </c>
      <c r="G73">
        <f t="shared" si="0"/>
        <v>3</v>
      </c>
      <c r="H73">
        <f t="shared" si="0"/>
        <v>6</v>
      </c>
      <c r="I73">
        <f t="shared" si="0"/>
        <v>1</v>
      </c>
      <c r="J73">
        <f t="shared" si="0"/>
        <v>4</v>
      </c>
      <c r="K73">
        <f t="shared" si="0"/>
        <v>1.03774345191879</v>
      </c>
      <c r="L73">
        <f t="shared" si="0"/>
        <v>0.61920439519786596</v>
      </c>
      <c r="M73">
        <f t="shared" si="0"/>
        <v>1.28365126223563</v>
      </c>
      <c r="N73">
        <f t="shared" si="0"/>
        <v>0.257807415759777</v>
      </c>
      <c r="O73">
        <f t="shared" si="0"/>
        <v>5.5708047013111397</v>
      </c>
      <c r="P73">
        <f t="shared" si="0"/>
        <v>3.3511039222320398</v>
      </c>
      <c r="Q73">
        <f t="shared" si="0"/>
        <v>4.7456997913586303</v>
      </c>
      <c r="R73">
        <f t="shared" si="0"/>
        <v>5.9122269168042001</v>
      </c>
      <c r="S73">
        <f t="shared" si="0"/>
        <v>277.692114684562</v>
      </c>
      <c r="T73">
        <f t="shared" si="0"/>
        <v>461.342265799833</v>
      </c>
      <c r="U73">
        <f t="shared" si="0"/>
        <v>280.791730348643</v>
      </c>
      <c r="V73">
        <f t="shared" si="0"/>
        <v>290.145806503698</v>
      </c>
      <c r="W73">
        <f t="shared" si="0"/>
        <v>1.43419846048968</v>
      </c>
      <c r="X73">
        <f t="shared" si="0"/>
        <v>2</v>
      </c>
      <c r="Y73">
        <f t="shared" si="0"/>
        <v>1</v>
      </c>
      <c r="Z73">
        <f t="shared" si="0"/>
        <v>-1.3391162805101799</v>
      </c>
      <c r="AA73">
        <f t="shared" si="0"/>
        <v>2.7733147409998602</v>
      </c>
    </row>
    <row r="74" spans="3:27">
      <c r="C74">
        <f t="shared" ref="C74:AA74" si="1">C13</f>
        <v>1</v>
      </c>
      <c r="D74">
        <f t="shared" si="1"/>
        <v>2</v>
      </c>
      <c r="E74">
        <f t="shared" si="1"/>
        <v>3</v>
      </c>
      <c r="F74">
        <f t="shared" si="1"/>
        <v>2</v>
      </c>
      <c r="G74">
        <f t="shared" si="1"/>
        <v>1</v>
      </c>
      <c r="H74">
        <f t="shared" si="1"/>
        <v>4</v>
      </c>
      <c r="I74">
        <f t="shared" si="1"/>
        <v>2</v>
      </c>
      <c r="J74">
        <f t="shared" si="1"/>
        <v>5</v>
      </c>
      <c r="K74">
        <f t="shared" si="1"/>
        <v>2.2468877799199598</v>
      </c>
      <c r="L74">
        <f t="shared" si="1"/>
        <v>0.77634878048617895</v>
      </c>
      <c r="M74">
        <f t="shared" si="1"/>
        <v>2.4892119668145201</v>
      </c>
      <c r="N74">
        <f t="shared" si="1"/>
        <v>1.0558952243975801</v>
      </c>
      <c r="O74">
        <f t="shared" si="1"/>
        <v>2.82434134423734</v>
      </c>
      <c r="P74">
        <f t="shared" si="1"/>
        <v>7.2922928986111604</v>
      </c>
      <c r="Q74">
        <f t="shared" si="1"/>
        <v>2.70681922009071</v>
      </c>
      <c r="R74">
        <f t="shared" si="1"/>
        <v>5.4930818307662701</v>
      </c>
      <c r="S74">
        <f t="shared" si="1"/>
        <v>274.18934862928398</v>
      </c>
      <c r="T74">
        <f t="shared" si="1"/>
        <v>278.80351843306602</v>
      </c>
      <c r="U74">
        <f t="shared" si="1"/>
        <v>276.06838548929699</v>
      </c>
      <c r="V74">
        <f t="shared" si="1"/>
        <v>282.17865678320197</v>
      </c>
      <c r="W74">
        <f t="shared" si="1"/>
        <v>-0.54091276834319502</v>
      </c>
      <c r="X74">
        <f t="shared" si="1"/>
        <v>4</v>
      </c>
      <c r="Y74">
        <f t="shared" si="1"/>
        <v>2</v>
      </c>
      <c r="Z74">
        <f t="shared" si="1"/>
        <v>-2.5273593925135902</v>
      </c>
      <c r="AA74">
        <f t="shared" si="1"/>
        <v>1.98644662417039</v>
      </c>
    </row>
    <row r="75" spans="3:27">
      <c r="C75">
        <f t="shared" ref="C75:AA75" si="2">C14</f>
        <v>3</v>
      </c>
      <c r="D75">
        <f t="shared" si="2"/>
        <v>3</v>
      </c>
      <c r="E75">
        <f t="shared" si="2"/>
        <v>5</v>
      </c>
      <c r="F75">
        <f t="shared" si="2"/>
        <v>3</v>
      </c>
      <c r="G75">
        <f t="shared" si="2"/>
        <v>2</v>
      </c>
      <c r="H75">
        <f t="shared" si="2"/>
        <v>5</v>
      </c>
      <c r="I75">
        <f t="shared" si="2"/>
        <v>3</v>
      </c>
      <c r="J75">
        <f t="shared" si="2"/>
        <v>6</v>
      </c>
      <c r="K75">
        <f t="shared" si="2"/>
        <v>0.81942512166657699</v>
      </c>
      <c r="L75">
        <f t="shared" si="2"/>
        <v>0.18351076809703701</v>
      </c>
      <c r="M75">
        <f t="shared" si="2"/>
        <v>1.0991359721237499</v>
      </c>
      <c r="N75">
        <f t="shared" si="2"/>
        <v>0.56460430915301996</v>
      </c>
      <c r="O75">
        <f t="shared" si="2"/>
        <v>2.9392555792490298</v>
      </c>
      <c r="P75">
        <f t="shared" si="2"/>
        <v>-81.423728068475995</v>
      </c>
      <c r="Q75">
        <f t="shared" si="2"/>
        <v>2.6021090804388902</v>
      </c>
      <c r="R75">
        <f t="shared" si="2"/>
        <v>6.6752291587284098</v>
      </c>
      <c r="S75">
        <f t="shared" si="2"/>
        <v>279.395646260116</v>
      </c>
      <c r="T75">
        <f t="shared" si="2"/>
        <v>454.36466944120599</v>
      </c>
      <c r="U75">
        <f t="shared" si="2"/>
        <v>282.78444363576801</v>
      </c>
      <c r="V75">
        <f t="shared" si="2"/>
        <v>285.52016119035</v>
      </c>
      <c r="W75">
        <f t="shared" si="2"/>
        <v>-2.0194573841002299</v>
      </c>
      <c r="X75">
        <f t="shared" si="2"/>
        <v>6</v>
      </c>
      <c r="Y75">
        <f t="shared" si="2"/>
        <v>3</v>
      </c>
      <c r="Z75">
        <f t="shared" si="2"/>
        <v>-1.8482986031311299</v>
      </c>
      <c r="AA75">
        <f t="shared" si="2"/>
        <v>-0.171158780969107</v>
      </c>
    </row>
    <row r="76" spans="3:27">
      <c r="C76">
        <f t="shared" ref="C76:AA76" si="3">C15</f>
        <v>4</v>
      </c>
      <c r="D76">
        <f t="shared" si="3"/>
        <v>1</v>
      </c>
      <c r="E76">
        <f t="shared" si="3"/>
        <v>2</v>
      </c>
      <c r="F76">
        <f t="shared" si="3"/>
        <v>1</v>
      </c>
      <c r="G76">
        <f t="shared" si="3"/>
        <v>3</v>
      </c>
      <c r="H76">
        <f t="shared" si="3"/>
        <v>5</v>
      </c>
      <c r="I76">
        <f t="shared" si="3"/>
        <v>2</v>
      </c>
      <c r="J76">
        <f t="shared" si="3"/>
        <v>4</v>
      </c>
      <c r="K76">
        <f t="shared" si="3"/>
        <v>4.2734632641725998</v>
      </c>
      <c r="L76">
        <f t="shared" si="3"/>
        <v>2.53318288015614</v>
      </c>
      <c r="M76">
        <f t="shared" si="3"/>
        <v>4.47740680119544</v>
      </c>
      <c r="N76">
        <f t="shared" si="3"/>
        <v>2.7393344843493699</v>
      </c>
      <c r="O76">
        <f t="shared" si="3"/>
        <v>1.5719399875761499</v>
      </c>
      <c r="P76">
        <f t="shared" si="3"/>
        <v>2.90093982891407</v>
      </c>
      <c r="Q76">
        <f t="shared" si="3"/>
        <v>1.5542115499265501</v>
      </c>
      <c r="R76">
        <f t="shared" si="3"/>
        <v>2.80551054311944</v>
      </c>
      <c r="S76">
        <f t="shared" si="3"/>
        <v>272.53805085253498</v>
      </c>
      <c r="T76">
        <f t="shared" si="3"/>
        <v>274.28424759704097</v>
      </c>
      <c r="U76">
        <f t="shared" si="3"/>
        <v>273.425155947554</v>
      </c>
      <c r="V76">
        <f t="shared" si="3"/>
        <v>275.60395287729801</v>
      </c>
      <c r="W76">
        <f t="shared" si="3"/>
        <v>-0.120429247885807</v>
      </c>
      <c r="X76">
        <f t="shared" si="3"/>
        <v>1</v>
      </c>
      <c r="Y76">
        <f t="shared" si="3"/>
        <v>1</v>
      </c>
      <c r="Z76">
        <f t="shared" si="3"/>
        <v>-5.5079768169225201</v>
      </c>
      <c r="AA76">
        <f t="shared" si="3"/>
        <v>5.3875475690367098</v>
      </c>
    </row>
    <row r="77" spans="3:27">
      <c r="C77">
        <f t="shared" ref="C77:AA77" si="4">C16</f>
        <v>6</v>
      </c>
      <c r="D77">
        <f t="shared" si="4"/>
        <v>2</v>
      </c>
      <c r="E77">
        <f t="shared" si="4"/>
        <v>4</v>
      </c>
      <c r="F77">
        <f t="shared" si="4"/>
        <v>2</v>
      </c>
      <c r="G77">
        <f t="shared" si="4"/>
        <v>1</v>
      </c>
      <c r="H77">
        <f t="shared" si="4"/>
        <v>6</v>
      </c>
      <c r="I77">
        <f t="shared" si="4"/>
        <v>3</v>
      </c>
      <c r="J77">
        <f t="shared" si="4"/>
        <v>5</v>
      </c>
      <c r="K77">
        <f t="shared" si="4"/>
        <v>3.1875823977202198</v>
      </c>
      <c r="L77">
        <f t="shared" si="4"/>
        <v>0.872572002009109</v>
      </c>
      <c r="M77">
        <f t="shared" si="4"/>
        <v>3.4205390479292199</v>
      </c>
      <c r="N77">
        <f t="shared" si="4"/>
        <v>1.1143428616239801</v>
      </c>
      <c r="O77">
        <f t="shared" si="4"/>
        <v>2.6370898991117202</v>
      </c>
      <c r="P77">
        <f t="shared" si="4"/>
        <v>4.6821378070619497</v>
      </c>
      <c r="Q77">
        <f t="shared" si="4"/>
        <v>2.5652549319377602</v>
      </c>
      <c r="R77">
        <f t="shared" si="4"/>
        <v>4.0056110493435</v>
      </c>
      <c r="S77">
        <f t="shared" si="4"/>
        <v>272.66059266801398</v>
      </c>
      <c r="T77">
        <f t="shared" si="4"/>
        <v>279.76305725420502</v>
      </c>
      <c r="U77">
        <f t="shared" si="4"/>
        <v>274.05610742019002</v>
      </c>
      <c r="V77">
        <f t="shared" si="4"/>
        <v>282.539924795437</v>
      </c>
      <c r="W77">
        <f t="shared" si="4"/>
        <v>-0.33115615355674399</v>
      </c>
      <c r="X77">
        <f t="shared" si="4"/>
        <v>3</v>
      </c>
      <c r="Y77">
        <f t="shared" si="4"/>
        <v>2</v>
      </c>
      <c r="Z77">
        <f t="shared" si="4"/>
        <v>-2.7474056023729099</v>
      </c>
      <c r="AA77">
        <f t="shared" si="4"/>
        <v>2.4162494488161599</v>
      </c>
    </row>
    <row r="78" spans="3:27">
      <c r="C78">
        <f t="shared" ref="C78:AA78" si="5">C17</f>
        <v>2</v>
      </c>
      <c r="D78">
        <f t="shared" si="5"/>
        <v>3</v>
      </c>
      <c r="E78">
        <f t="shared" si="5"/>
        <v>6</v>
      </c>
      <c r="F78">
        <f t="shared" si="5"/>
        <v>3</v>
      </c>
      <c r="G78">
        <f t="shared" si="5"/>
        <v>2</v>
      </c>
      <c r="H78">
        <f t="shared" si="5"/>
        <v>4</v>
      </c>
      <c r="I78">
        <f t="shared" si="5"/>
        <v>1</v>
      </c>
      <c r="J78">
        <f t="shared" si="5"/>
        <v>6</v>
      </c>
      <c r="K78">
        <f t="shared" si="5"/>
        <v>5.13346642237099</v>
      </c>
      <c r="L78">
        <f t="shared" si="5"/>
        <v>0.95626662527754402</v>
      </c>
      <c r="M78">
        <f t="shared" si="5"/>
        <v>5.3437984060568002</v>
      </c>
      <c r="N78">
        <f t="shared" si="5"/>
        <v>1.1732953203352701</v>
      </c>
      <c r="O78">
        <f t="shared" si="5"/>
        <v>2.0877764203701399</v>
      </c>
      <c r="P78">
        <f t="shared" si="5"/>
        <v>2.4589154712991199</v>
      </c>
      <c r="Q78">
        <f t="shared" si="5"/>
        <v>2.0614215716281201</v>
      </c>
      <c r="R78">
        <f t="shared" si="5"/>
        <v>2.2850379829893201</v>
      </c>
      <c r="S78">
        <f t="shared" si="5"/>
        <v>271.35219082979899</v>
      </c>
      <c r="T78">
        <f t="shared" si="5"/>
        <v>277.27753564414297</v>
      </c>
      <c r="U78">
        <f t="shared" si="5"/>
        <v>272.10838495991902</v>
      </c>
      <c r="V78">
        <f t="shared" si="5"/>
        <v>279.64583564687803</v>
      </c>
      <c r="W78">
        <f t="shared" si="5"/>
        <v>-0.17074040155648201</v>
      </c>
      <c r="X78">
        <f t="shared" si="5"/>
        <v>5</v>
      </c>
      <c r="Y78">
        <f t="shared" si="5"/>
        <v>3</v>
      </c>
      <c r="Z78">
        <f t="shared" si="5"/>
        <v>-2.9021521636488399</v>
      </c>
      <c r="AA78">
        <f t="shared" si="5"/>
        <v>2.7314117620923599</v>
      </c>
    </row>
    <row r="80" spans="3:27">
      <c r="K80">
        <f t="shared" ref="K80:W80" si="6">K66-K73</f>
        <v>3.9559520834952897</v>
      </c>
      <c r="L80">
        <f t="shared" si="6"/>
        <v>0.20021558252099803</v>
      </c>
      <c r="M80">
        <f t="shared" si="6"/>
        <v>3.9294308531979101</v>
      </c>
      <c r="N80">
        <f t="shared" si="6"/>
        <v>0.78918351372935303</v>
      </c>
      <c r="O80">
        <f t="shared" si="6"/>
        <v>-3.1509490518087695</v>
      </c>
      <c r="P80">
        <f t="shared" si="6"/>
        <v>-0.41184022636972983</v>
      </c>
      <c r="Q80">
        <f t="shared" si="6"/>
        <v>-2.3633184605833204</v>
      </c>
      <c r="R80">
        <f t="shared" si="6"/>
        <v>-3.2596379122880501</v>
      </c>
      <c r="S80">
        <f t="shared" si="6"/>
        <v>-6.1570568795700069</v>
      </c>
      <c r="T80">
        <f t="shared" si="6"/>
        <v>-181.94658677715699</v>
      </c>
      <c r="U80">
        <f t="shared" si="6"/>
        <v>-8.4604108042719872</v>
      </c>
      <c r="V80">
        <f t="shared" si="6"/>
        <v>-8.4604108085050029</v>
      </c>
      <c r="W80">
        <f t="shared" si="6"/>
        <v>-1.6359437414030169</v>
      </c>
      <c r="X80">
        <f t="shared" ref="X80:AA80" si="7">X66-X73</f>
        <v>0</v>
      </c>
      <c r="Y80">
        <f t="shared" si="7"/>
        <v>0</v>
      </c>
      <c r="Z80">
        <f t="shared" si="7"/>
        <v>-1.0817141646067598</v>
      </c>
      <c r="AA80">
        <f t="shared" si="7"/>
        <v>-0.55422957679626039</v>
      </c>
    </row>
    <row r="81" spans="11:27">
      <c r="K81">
        <f t="shared" ref="K81:W81" si="8">K67-K74</f>
        <v>0.52816506115212025</v>
      </c>
      <c r="L81">
        <f t="shared" si="8"/>
        <v>0.26139290909630108</v>
      </c>
      <c r="M81">
        <f t="shared" si="8"/>
        <v>0.51635049024136981</v>
      </c>
      <c r="N81">
        <f t="shared" si="8"/>
        <v>0.21902996592516</v>
      </c>
      <c r="O81">
        <f t="shared" si="8"/>
        <v>-0.23223971330941007</v>
      </c>
      <c r="P81">
        <f t="shared" si="8"/>
        <v>-1.7214804790836107</v>
      </c>
      <c r="Q81">
        <f t="shared" si="8"/>
        <v>-0.19306830532940999</v>
      </c>
      <c r="R81">
        <f t="shared" si="8"/>
        <v>-0.7246821451683001</v>
      </c>
      <c r="S81">
        <f t="shared" si="8"/>
        <v>-1.3202859564999585</v>
      </c>
      <c r="T81">
        <f t="shared" si="8"/>
        <v>-1.111404555208992</v>
      </c>
      <c r="U81">
        <f t="shared" si="8"/>
        <v>-1.6033838506160123</v>
      </c>
      <c r="V81">
        <f t="shared" si="8"/>
        <v>-1.6033838785249941</v>
      </c>
      <c r="W81">
        <f t="shared" si="8"/>
        <v>0.21075139846721802</v>
      </c>
      <c r="X81">
        <f t="shared" ref="X81:AA81" si="9">X67-X74</f>
        <v>0</v>
      </c>
      <c r="Y81">
        <f t="shared" si="9"/>
        <v>0</v>
      </c>
      <c r="Z81">
        <f t="shared" si="9"/>
        <v>-0.28589087189565987</v>
      </c>
      <c r="AA81">
        <f t="shared" si="9"/>
        <v>0.49664227036288988</v>
      </c>
    </row>
    <row r="82" spans="11:27">
      <c r="K82">
        <f t="shared" ref="K82:W82" si="10">K68-K75</f>
        <v>3.7486052230173526</v>
      </c>
      <c r="L82">
        <f t="shared" si="10"/>
        <v>2.0633684973129527</v>
      </c>
      <c r="M82">
        <f t="shared" si="10"/>
        <v>3.6682455754866004</v>
      </c>
      <c r="N82">
        <f t="shared" si="10"/>
        <v>1.8843048683156198</v>
      </c>
      <c r="O82">
        <f t="shared" si="10"/>
        <v>-1.2776994079677597</v>
      </c>
      <c r="P82">
        <f t="shared" si="10"/>
        <v>84.248073945101879</v>
      </c>
      <c r="Q82">
        <f t="shared" si="10"/>
        <v>-0.95862803741988012</v>
      </c>
      <c r="R82">
        <f t="shared" si="10"/>
        <v>-3.95032340046681</v>
      </c>
      <c r="S82">
        <f t="shared" si="10"/>
        <v>-7.3363794655519996</v>
      </c>
      <c r="T82">
        <f t="shared" si="10"/>
        <v>-180.17527997144697</v>
      </c>
      <c r="U82">
        <f t="shared" si="10"/>
        <v>-9.9017779456810331</v>
      </c>
      <c r="V82">
        <f t="shared" si="10"/>
        <v>-9.9017779212380219</v>
      </c>
      <c r="W82">
        <f t="shared" si="10"/>
        <v>1.9055422600503389</v>
      </c>
      <c r="X82">
        <f t="shared" ref="X82:AA82" si="11">X68-X75</f>
        <v>0</v>
      </c>
      <c r="Y82">
        <f t="shared" si="11"/>
        <v>0</v>
      </c>
      <c r="Z82">
        <f t="shared" si="11"/>
        <v>-2.7828980115309507</v>
      </c>
      <c r="AA82">
        <f t="shared" si="11"/>
        <v>4.6884402715812969</v>
      </c>
    </row>
    <row r="83" spans="11:27">
      <c r="K83">
        <f t="shared" ref="K83:W83" si="12">K69-K76</f>
        <v>-3.3171904466463049</v>
      </c>
      <c r="L83">
        <f t="shared" si="12"/>
        <v>-2.3496667051283691</v>
      </c>
      <c r="M83">
        <f t="shared" si="12"/>
        <v>-3.2440424126823197</v>
      </c>
      <c r="N83">
        <f t="shared" si="12"/>
        <v>-1.9847464474782139</v>
      </c>
      <c r="O83">
        <f t="shared" si="12"/>
        <v>0.88696957212778016</v>
      </c>
      <c r="P83">
        <f t="shared" si="12"/>
        <v>-29.057688784502869</v>
      </c>
      <c r="Q83">
        <f t="shared" si="12"/>
        <v>0.69195454421243996</v>
      </c>
      <c r="R83">
        <f t="shared" si="12"/>
        <v>3.2354491602675504</v>
      </c>
      <c r="S83">
        <f t="shared" si="12"/>
        <v>4.7394401019840302</v>
      </c>
      <c r="T83">
        <f t="shared" si="12"/>
        <v>8.0374075250006172E-2</v>
      </c>
      <c r="U83">
        <f t="shared" si="12"/>
        <v>7.3373190000489785</v>
      </c>
      <c r="V83">
        <f t="shared" si="12"/>
        <v>7.3373190274820104</v>
      </c>
      <c r="W83">
        <f t="shared" si="12"/>
        <v>-2.6489329355614428</v>
      </c>
      <c r="X83">
        <f t="shared" ref="X83:AA83" si="13">X69-X76</f>
        <v>0</v>
      </c>
      <c r="Y83">
        <f t="shared" si="13"/>
        <v>0</v>
      </c>
      <c r="Z83">
        <f t="shared" si="13"/>
        <v>3.2974857107439801</v>
      </c>
      <c r="AA83">
        <f t="shared" si="13"/>
        <v>-5.9464186463054212</v>
      </c>
    </row>
    <row r="84" spans="11:27">
      <c r="K84">
        <f t="shared" ref="K84:W84" si="14">K70-K77</f>
        <v>-0.65439188094494982</v>
      </c>
      <c r="L84">
        <f t="shared" si="14"/>
        <v>-0.25336487773305805</v>
      </c>
      <c r="M84">
        <f t="shared" si="14"/>
        <v>-0.65290901245223987</v>
      </c>
      <c r="N84">
        <f t="shared" si="14"/>
        <v>-0.21270463165573206</v>
      </c>
      <c r="O84">
        <f t="shared" si="14"/>
        <v>0.26384613069220997</v>
      </c>
      <c r="P84">
        <f t="shared" si="14"/>
        <v>1.44214488817732</v>
      </c>
      <c r="Q84">
        <f t="shared" si="14"/>
        <v>0.22817511787097988</v>
      </c>
      <c r="R84">
        <f t="shared" si="14"/>
        <v>0.57313570228181021</v>
      </c>
      <c r="S84">
        <f t="shared" si="14"/>
        <v>1.623629619539031</v>
      </c>
      <c r="T84">
        <f t="shared" si="14"/>
        <v>1.5791821508199746</v>
      </c>
      <c r="U84">
        <f t="shared" si="14"/>
        <v>1.8606969787269918</v>
      </c>
      <c r="V84">
        <f t="shared" si="14"/>
        <v>1.8606969703849927</v>
      </c>
      <c r="W84">
        <f t="shared" si="14"/>
        <v>-0.226930811608686</v>
      </c>
      <c r="X84">
        <f t="shared" ref="X84:AA84" si="15">X70-X77</f>
        <v>0</v>
      </c>
      <c r="Y84">
        <f t="shared" si="15"/>
        <v>0</v>
      </c>
      <c r="Z84">
        <f t="shared" si="15"/>
        <v>0.25136483704734003</v>
      </c>
      <c r="AA84">
        <f t="shared" si="15"/>
        <v>-0.47829564865601992</v>
      </c>
    </row>
    <row r="85" spans="11:27">
      <c r="K85">
        <f t="shared" ref="K85:W85" si="16">K71-K78</f>
        <v>-4.2608925419828427</v>
      </c>
      <c r="L85">
        <f t="shared" si="16"/>
        <v>-0.17992168321186608</v>
      </c>
      <c r="M85">
        <f t="shared" si="16"/>
        <v>-4.2164866510032404</v>
      </c>
      <c r="N85">
        <f t="shared" si="16"/>
        <v>-0.92578044311638408</v>
      </c>
      <c r="O85">
        <f t="shared" si="16"/>
        <v>2.5943544433806998</v>
      </c>
      <c r="P85">
        <f t="shared" si="16"/>
        <v>0.20578735883375998</v>
      </c>
      <c r="Q85">
        <f t="shared" si="16"/>
        <v>1.9169240484693297</v>
      </c>
      <c r="R85">
        <f t="shared" si="16"/>
        <v>2.5848671154141698</v>
      </c>
      <c r="S85">
        <f t="shared" si="16"/>
        <v>8.4108637628650058</v>
      </c>
      <c r="T85">
        <f t="shared" si="16"/>
        <v>181.52602434536601</v>
      </c>
      <c r="U85">
        <f t="shared" si="16"/>
        <v>10.766650880558984</v>
      </c>
      <c r="V85">
        <f t="shared" si="16"/>
        <v>10.766650876773951</v>
      </c>
      <c r="W85">
        <f t="shared" si="16"/>
        <v>1.7955318526497419</v>
      </c>
      <c r="X85">
        <f t="shared" ref="X85:AA85" si="17">X71-X78</f>
        <v>0</v>
      </c>
      <c r="Y85">
        <f t="shared" si="17"/>
        <v>0</v>
      </c>
      <c r="Z85">
        <f t="shared" si="17"/>
        <v>1.4903495231589299</v>
      </c>
      <c r="AA85">
        <f t="shared" si="17"/>
        <v>0.30518232949081003</v>
      </c>
    </row>
  </sheetData>
  <mergeCells count="13">
    <mergeCell ref="AB1:AC1"/>
    <mergeCell ref="S4:T4"/>
    <mergeCell ref="U4:V4"/>
    <mergeCell ref="K20:P20"/>
    <mergeCell ref="Q4:R4"/>
    <mergeCell ref="S3:T3"/>
    <mergeCell ref="U3:V3"/>
    <mergeCell ref="T19:U19"/>
    <mergeCell ref="G4:H4"/>
    <mergeCell ref="I4:J4"/>
    <mergeCell ref="K4:L4"/>
    <mergeCell ref="M4:N4"/>
    <mergeCell ref="O4:P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3417-3464-CF47-B82C-29BE8FD185BA}">
  <sheetPr>
    <tabColor rgb="FF00B0F0"/>
  </sheetPr>
  <dimension ref="B1:AC85"/>
  <sheetViews>
    <sheetView showGridLines="0" topLeftCell="A2" zoomScale="120" zoomScaleNormal="120" workbookViewId="0">
      <selection activeCell="K33" sqref="K33"/>
    </sheetView>
  </sheetViews>
  <sheetFormatPr baseColWidth="10" defaultRowHeight="15.75"/>
  <cols>
    <col min="1" max="1" width="1.125" customWidth="1"/>
    <col min="2" max="2" width="8.375" customWidth="1"/>
    <col min="3" max="8" width="4.375" customWidth="1"/>
    <col min="9" max="9" width="5.875" customWidth="1"/>
    <col min="10" max="10" width="3.5" customWidth="1"/>
    <col min="11" max="15" width="7.625" customWidth="1"/>
    <col min="16" max="16" width="9" customWidth="1"/>
    <col min="17" max="18" width="7.625" customWidth="1"/>
    <col min="19" max="22" width="8.875" customWidth="1"/>
    <col min="23" max="23" width="9.875" customWidth="1"/>
    <col min="24" max="25" width="6.125" style="1" customWidth="1"/>
    <col min="26" max="26" width="12.625" bestFit="1" customWidth="1"/>
    <col min="27" max="27" width="10.875" customWidth="1"/>
    <col min="28" max="28" width="5.125" customWidth="1"/>
  </cols>
  <sheetData>
    <row r="1" spans="2:29">
      <c r="AB1" s="64" t="s">
        <v>29</v>
      </c>
      <c r="AC1" s="64"/>
    </row>
    <row r="2" spans="2:29">
      <c r="AB2" s="45" t="s">
        <v>30</v>
      </c>
      <c r="AC2" s="9">
        <v>0.14000000000000001</v>
      </c>
    </row>
    <row r="3" spans="2:29">
      <c r="S3" s="65" t="s">
        <v>45</v>
      </c>
      <c r="T3" s="65"/>
      <c r="U3" s="65" t="s">
        <v>46</v>
      </c>
      <c r="V3" s="65"/>
      <c r="AB3" s="45" t="s">
        <v>31</v>
      </c>
      <c r="AC3" s="9">
        <v>0.02</v>
      </c>
    </row>
    <row r="4" spans="2:29">
      <c r="B4" s="3" t="s">
        <v>20</v>
      </c>
      <c r="C4" s="3" t="s">
        <v>24</v>
      </c>
      <c r="D4" s="3"/>
      <c r="E4" s="3" t="s">
        <v>24</v>
      </c>
      <c r="F4" s="3"/>
      <c r="G4" s="61" t="s">
        <v>27</v>
      </c>
      <c r="H4" s="61"/>
      <c r="I4" s="61" t="s">
        <v>27</v>
      </c>
      <c r="J4" s="61"/>
      <c r="K4" s="61" t="s">
        <v>13</v>
      </c>
      <c r="L4" s="61"/>
      <c r="M4" s="61" t="s">
        <v>14</v>
      </c>
      <c r="N4" s="61"/>
      <c r="O4" s="62" t="s">
        <v>9</v>
      </c>
      <c r="P4" s="62"/>
      <c r="Q4" s="62" t="s">
        <v>10</v>
      </c>
      <c r="R4" s="62"/>
      <c r="S4" s="62" t="s">
        <v>15</v>
      </c>
      <c r="T4" s="62"/>
      <c r="U4" s="62" t="s">
        <v>16</v>
      </c>
      <c r="V4" s="62"/>
      <c r="W4" s="3"/>
      <c r="X4" s="2" t="s">
        <v>25</v>
      </c>
      <c r="Y4" s="2"/>
      <c r="Z4" s="3"/>
    </row>
    <row r="5" spans="2:29">
      <c r="B5" s="5" t="s">
        <v>19</v>
      </c>
      <c r="C5" s="4" t="s">
        <v>3</v>
      </c>
      <c r="D5" s="4" t="s">
        <v>4</v>
      </c>
      <c r="E5" s="4" t="s">
        <v>5</v>
      </c>
      <c r="F5" s="4" t="s">
        <v>4</v>
      </c>
      <c r="G5" s="4" t="s">
        <v>6</v>
      </c>
      <c r="H5" s="4" t="s">
        <v>7</v>
      </c>
      <c r="I5" s="4" t="s">
        <v>8</v>
      </c>
      <c r="J5" s="4" t="s">
        <v>7</v>
      </c>
      <c r="K5" s="4" t="s">
        <v>5</v>
      </c>
      <c r="L5" s="4" t="s">
        <v>3</v>
      </c>
      <c r="M5" s="4" t="s">
        <v>5</v>
      </c>
      <c r="N5" s="4" t="s">
        <v>3</v>
      </c>
      <c r="O5" s="4" t="s">
        <v>5</v>
      </c>
      <c r="P5" s="4" t="s">
        <v>3</v>
      </c>
      <c r="Q5" s="4" t="s">
        <v>5</v>
      </c>
      <c r="R5" s="4" t="s">
        <v>3</v>
      </c>
      <c r="S5" s="4" t="s">
        <v>5</v>
      </c>
      <c r="T5" s="4" t="s">
        <v>3</v>
      </c>
      <c r="U5" s="4" t="s">
        <v>5</v>
      </c>
      <c r="V5" s="4" t="s">
        <v>3</v>
      </c>
      <c r="W5" s="23" t="s">
        <v>11</v>
      </c>
      <c r="X5" s="23" t="s">
        <v>47</v>
      </c>
      <c r="Y5" s="4" t="s">
        <v>4</v>
      </c>
      <c r="Z5" s="23" t="s">
        <v>12</v>
      </c>
      <c r="AC5" s="24" t="s">
        <v>28</v>
      </c>
    </row>
    <row r="6" spans="2:29">
      <c r="B6" s="3" t="s">
        <v>17</v>
      </c>
      <c r="C6" s="2">
        <v>5</v>
      </c>
      <c r="D6" s="2">
        <v>1</v>
      </c>
      <c r="E6" s="2">
        <v>1</v>
      </c>
      <c r="F6" s="2">
        <v>1</v>
      </c>
      <c r="G6" s="2">
        <v>3</v>
      </c>
      <c r="H6" s="2">
        <v>6</v>
      </c>
      <c r="I6" s="2">
        <v>1</v>
      </c>
      <c r="J6" s="2">
        <v>4</v>
      </c>
      <c r="K6" s="25">
        <v>2.7260236580377102</v>
      </c>
      <c r="L6" s="25">
        <v>0.44731566617320001</v>
      </c>
      <c r="M6" s="25">
        <v>3.1049565078686099</v>
      </c>
      <c r="N6" s="25">
        <v>0.623596795174158</v>
      </c>
      <c r="O6" s="32">
        <v>3.10250451165843</v>
      </c>
      <c r="P6" s="32">
        <v>3.99724211549856</v>
      </c>
      <c r="Q6" s="32">
        <v>2.92587361525278</v>
      </c>
      <c r="R6" s="32">
        <v>3.3393309283177102</v>
      </c>
      <c r="S6" s="28">
        <v>326.02656455099498</v>
      </c>
      <c r="T6" s="28">
        <v>333.887185769025</v>
      </c>
      <c r="U6" s="28">
        <v>323.47912562820801</v>
      </c>
      <c r="V6" s="28">
        <v>332.83320177733401</v>
      </c>
      <c r="W6" s="32">
        <v>-0.340871983860348</v>
      </c>
      <c r="X6" s="20">
        <v>2</v>
      </c>
      <c r="Y6" s="20">
        <v>1</v>
      </c>
      <c r="Z6" s="32">
        <v>-2.9859451753050901</v>
      </c>
      <c r="AA6">
        <v>2.6450731914447401</v>
      </c>
      <c r="AB6">
        <v>1</v>
      </c>
      <c r="AC6" s="2">
        <v>0.3</v>
      </c>
    </row>
    <row r="7" spans="2:29">
      <c r="B7" t="s">
        <v>17</v>
      </c>
      <c r="C7" s="1">
        <v>1</v>
      </c>
      <c r="D7" s="1">
        <v>2</v>
      </c>
      <c r="E7" s="1">
        <v>3</v>
      </c>
      <c r="F7" s="1">
        <v>2</v>
      </c>
      <c r="G7" s="1">
        <v>1</v>
      </c>
      <c r="H7" s="1">
        <v>4</v>
      </c>
      <c r="I7" s="1">
        <v>2</v>
      </c>
      <c r="J7" s="1">
        <v>5</v>
      </c>
      <c r="K7" s="26">
        <v>1.61844708837798</v>
      </c>
      <c r="L7" s="26">
        <v>0.60522451686769996</v>
      </c>
      <c r="M7" s="26">
        <v>2.31424361085468</v>
      </c>
      <c r="N7" s="26">
        <v>0.98167564945514296</v>
      </c>
      <c r="O7" s="34">
        <v>3.2783204774351402</v>
      </c>
      <c r="P7" s="34">
        <v>9.9042735781241102</v>
      </c>
      <c r="Q7" s="34">
        <v>2.7894401978005599</v>
      </c>
      <c r="R7" s="34">
        <v>5.8350653494649896</v>
      </c>
      <c r="S7" s="29">
        <v>323.726456815429</v>
      </c>
      <c r="T7" s="29">
        <v>328.54950804223603</v>
      </c>
      <c r="U7" s="29">
        <v>309.85667167912101</v>
      </c>
      <c r="V7" s="29">
        <v>315.96694297151402</v>
      </c>
      <c r="W7" s="34">
        <v>-0.98988214113984097</v>
      </c>
      <c r="X7" s="21">
        <v>4</v>
      </c>
      <c r="Y7" s="21">
        <v>2</v>
      </c>
      <c r="Z7" s="34">
        <v>-3.2180888616411401</v>
      </c>
      <c r="AA7">
        <v>2.2282067205013001</v>
      </c>
      <c r="AB7">
        <v>2</v>
      </c>
      <c r="AC7" s="1">
        <v>0.06</v>
      </c>
    </row>
    <row r="8" spans="2:29">
      <c r="B8" t="s">
        <v>17</v>
      </c>
      <c r="C8" s="1">
        <v>3</v>
      </c>
      <c r="D8" s="1">
        <v>3</v>
      </c>
      <c r="E8" s="1">
        <v>5</v>
      </c>
      <c r="F8" s="1">
        <v>3</v>
      </c>
      <c r="G8" s="1">
        <v>2</v>
      </c>
      <c r="H8" s="1">
        <v>5</v>
      </c>
      <c r="I8" s="1">
        <v>3</v>
      </c>
      <c r="J8" s="1">
        <v>6</v>
      </c>
      <c r="K8" s="26">
        <v>2.62977125715816</v>
      </c>
      <c r="L8" s="26">
        <v>1.2935068428351799</v>
      </c>
      <c r="M8" s="26">
        <v>2.9839882375213702</v>
      </c>
      <c r="N8" s="26">
        <v>1.53281546777847</v>
      </c>
      <c r="O8" s="34">
        <v>1.93503777030206</v>
      </c>
      <c r="P8" s="34">
        <v>3.68017793076476</v>
      </c>
      <c r="Q8" s="34">
        <v>1.8650860074186799</v>
      </c>
      <c r="R8" s="34">
        <v>3.3676705207086499</v>
      </c>
      <c r="S8" s="29">
        <v>323.685148454689</v>
      </c>
      <c r="T8" s="29">
        <v>325.815271144066</v>
      </c>
      <c r="U8" s="29">
        <v>321.30859167832</v>
      </c>
      <c r="V8" s="29">
        <v>324.04430924566702</v>
      </c>
      <c r="W8" s="34">
        <v>-0.36726422302863398</v>
      </c>
      <c r="X8" s="21">
        <v>6</v>
      </c>
      <c r="Y8" s="21">
        <v>3</v>
      </c>
      <c r="Z8" s="34">
        <v>-7.2588554331169099</v>
      </c>
      <c r="AA8">
        <v>6.8915912100882801</v>
      </c>
      <c r="AB8">
        <v>3</v>
      </c>
      <c r="AC8" s="1">
        <v>0.2</v>
      </c>
    </row>
    <row r="9" spans="2:29">
      <c r="B9" t="s">
        <v>17</v>
      </c>
      <c r="C9" s="1">
        <v>4</v>
      </c>
      <c r="D9" s="1">
        <v>1</v>
      </c>
      <c r="E9" s="1">
        <v>2</v>
      </c>
      <c r="F9" s="1">
        <v>1</v>
      </c>
      <c r="G9" s="1">
        <v>3</v>
      </c>
      <c r="H9" s="1">
        <v>5</v>
      </c>
      <c r="I9" s="1">
        <v>2</v>
      </c>
      <c r="J9" s="1">
        <v>4</v>
      </c>
      <c r="K9" s="26">
        <v>0.52202267950223402</v>
      </c>
      <c r="L9" s="26">
        <v>0.100180203456807</v>
      </c>
      <c r="M9" s="26">
        <v>1.12055447822177</v>
      </c>
      <c r="N9" s="26">
        <v>0.68556949738747297</v>
      </c>
      <c r="O9" s="34">
        <v>3.1662025077417399</v>
      </c>
      <c r="P9" s="34">
        <v>-8.0823977317848108</v>
      </c>
      <c r="Q9" s="34">
        <v>2.3220186816543502</v>
      </c>
      <c r="R9" s="34">
        <v>6.5993826321450699</v>
      </c>
      <c r="S9" s="29">
        <v>331.76899770092598</v>
      </c>
      <c r="T9" s="29">
        <v>328.85612841869897</v>
      </c>
      <c r="U9" s="29">
        <v>296.80411100447401</v>
      </c>
      <c r="V9" s="29">
        <v>298.98290796165099</v>
      </c>
      <c r="W9" s="34">
        <v>-4.8085392593805798</v>
      </c>
      <c r="X9" s="21">
        <v>1</v>
      </c>
      <c r="Y9" s="21">
        <v>1</v>
      </c>
      <c r="Z9" s="34">
        <v>-2.2753040648451801</v>
      </c>
      <c r="AA9">
        <v>-2.5332351945354001</v>
      </c>
      <c r="AB9">
        <v>4</v>
      </c>
      <c r="AC9" s="1">
        <v>0.24</v>
      </c>
    </row>
    <row r="10" spans="2:29">
      <c r="B10" t="s">
        <v>17</v>
      </c>
      <c r="C10" s="1">
        <v>6</v>
      </c>
      <c r="D10" s="1">
        <v>2</v>
      </c>
      <c r="E10" s="1">
        <v>4</v>
      </c>
      <c r="F10" s="1">
        <v>2</v>
      </c>
      <c r="G10" s="1">
        <v>1</v>
      </c>
      <c r="H10" s="1">
        <v>6</v>
      </c>
      <c r="I10" s="1">
        <v>3</v>
      </c>
      <c r="J10" s="1">
        <v>5</v>
      </c>
      <c r="K10" s="26">
        <v>1.47738981891342</v>
      </c>
      <c r="L10" s="26">
        <v>0.361129688093354</v>
      </c>
      <c r="M10" s="26">
        <v>2.1705131685305799</v>
      </c>
      <c r="N10" s="26">
        <v>0.70710955810949305</v>
      </c>
      <c r="O10" s="34">
        <v>3.7820945656560698</v>
      </c>
      <c r="P10" s="34">
        <v>11.7760775621124</v>
      </c>
      <c r="Q10" s="34">
        <v>3.1093265920374198</v>
      </c>
      <c r="R10" s="34">
        <v>5.4732323429833603</v>
      </c>
      <c r="S10" s="29">
        <v>325.14161645273401</v>
      </c>
      <c r="T10" s="29">
        <v>332.199633570206</v>
      </c>
      <c r="U10" s="29">
        <v>308.73285383345899</v>
      </c>
      <c r="V10" s="29">
        <v>317.21667120036301</v>
      </c>
      <c r="W10" s="34">
        <v>-1.17148199566441</v>
      </c>
      <c r="X10" s="21">
        <v>3</v>
      </c>
      <c r="Y10" s="21">
        <v>2</v>
      </c>
      <c r="Z10" s="34">
        <v>-2.6951650363987398</v>
      </c>
      <c r="AA10">
        <v>1.52368304073432</v>
      </c>
      <c r="AB10">
        <v>5</v>
      </c>
      <c r="AC10" s="1">
        <v>0.08</v>
      </c>
    </row>
    <row r="11" spans="2:29">
      <c r="B11" s="5" t="s">
        <v>17</v>
      </c>
      <c r="C11" s="1">
        <v>2</v>
      </c>
      <c r="D11" s="1">
        <v>3</v>
      </c>
      <c r="E11" s="1">
        <v>6</v>
      </c>
      <c r="F11" s="1">
        <v>3</v>
      </c>
      <c r="G11" s="1">
        <v>2</v>
      </c>
      <c r="H11" s="1">
        <v>4</v>
      </c>
      <c r="I11" s="1">
        <v>1</v>
      </c>
      <c r="J11" s="1">
        <v>6</v>
      </c>
      <c r="K11" s="26">
        <v>0.50233241402920903</v>
      </c>
      <c r="L11" s="26">
        <v>0.44693433717468301</v>
      </c>
      <c r="M11" s="26">
        <v>1.0264470850687399</v>
      </c>
      <c r="N11" s="26">
        <v>0.22536882374689901</v>
      </c>
      <c r="O11" s="34">
        <v>7.5311054698671596</v>
      </c>
      <c r="P11" s="34">
        <v>3.4164077827532999</v>
      </c>
      <c r="Q11" s="34">
        <v>4.2103101763053097</v>
      </c>
      <c r="R11" s="34">
        <v>5.2197399853786397</v>
      </c>
      <c r="S11" s="29">
        <v>331.38893625236699</v>
      </c>
      <c r="T11" s="51">
        <v>510.42944164921101</v>
      </c>
      <c r="U11" s="29">
        <v>297.422541871752</v>
      </c>
      <c r="V11" s="29">
        <v>304.95999255492598</v>
      </c>
      <c r="W11" s="34">
        <v>1.8746422984212501</v>
      </c>
      <c r="X11" s="21">
        <v>5</v>
      </c>
      <c r="Y11" s="21">
        <v>3</v>
      </c>
      <c r="Z11" s="34">
        <v>-1.0817945982081201</v>
      </c>
      <c r="AA11">
        <v>2.9564368966293699</v>
      </c>
      <c r="AB11">
        <v>6</v>
      </c>
      <c r="AC11" s="4">
        <v>0.2</v>
      </c>
    </row>
    <row r="12" spans="2:29">
      <c r="B12" s="3" t="s">
        <v>18</v>
      </c>
      <c r="C12" s="2">
        <v>5</v>
      </c>
      <c r="D12" s="2">
        <v>1</v>
      </c>
      <c r="E12" s="2">
        <v>1</v>
      </c>
      <c r="F12" s="2">
        <v>1</v>
      </c>
      <c r="G12" s="2">
        <v>3</v>
      </c>
      <c r="H12" s="2">
        <v>6</v>
      </c>
      <c r="I12" s="2">
        <v>1</v>
      </c>
      <c r="J12" s="2">
        <v>4</v>
      </c>
      <c r="K12" s="25">
        <v>0.60522613951374205</v>
      </c>
      <c r="L12" s="25">
        <v>0.36112845133603699</v>
      </c>
      <c r="M12" s="25">
        <v>1.1600282003590401</v>
      </c>
      <c r="N12" s="25">
        <v>0.23297906630978099</v>
      </c>
      <c r="O12" s="32">
        <v>9.9042354760899602</v>
      </c>
      <c r="P12" s="32">
        <v>4.5747035289044602</v>
      </c>
      <c r="Q12" s="32">
        <v>5.1062334759296597</v>
      </c>
      <c r="R12" s="32">
        <v>6.4789032831356099</v>
      </c>
      <c r="S12" s="28">
        <v>328.54944602794001</v>
      </c>
      <c r="T12" s="50">
        <v>512.19959714321101</v>
      </c>
      <c r="U12" s="28">
        <v>297.41290340109902</v>
      </c>
      <c r="V12" s="28">
        <v>306.76697955615401</v>
      </c>
      <c r="W12" s="32">
        <v>1.6295554806386101</v>
      </c>
      <c r="X12" s="20">
        <v>2</v>
      </c>
      <c r="Y12" s="20">
        <v>1</v>
      </c>
      <c r="Z12" s="32">
        <v>-0.93277301965898096</v>
      </c>
      <c r="AA12">
        <v>2.56232850029759</v>
      </c>
    </row>
    <row r="13" spans="2:29">
      <c r="B13" t="s">
        <v>18</v>
      </c>
      <c r="C13" s="1">
        <v>1</v>
      </c>
      <c r="D13" s="1">
        <v>2</v>
      </c>
      <c r="E13" s="1">
        <v>3</v>
      </c>
      <c r="F13" s="1">
        <v>2</v>
      </c>
      <c r="G13" s="1">
        <v>1</v>
      </c>
      <c r="H13" s="1">
        <v>4</v>
      </c>
      <c r="I13" s="1">
        <v>2</v>
      </c>
      <c r="J13" s="1">
        <v>5</v>
      </c>
      <c r="K13" s="26">
        <v>1.29351010394927</v>
      </c>
      <c r="L13" s="26">
        <v>0.44693597994615197</v>
      </c>
      <c r="M13" s="26">
        <v>2.0173293009279498</v>
      </c>
      <c r="N13" s="26">
        <v>0.85572799877425898</v>
      </c>
      <c r="O13" s="34">
        <v>3.6801728672684701</v>
      </c>
      <c r="P13" s="34">
        <v>17.490109282111298</v>
      </c>
      <c r="Q13" s="34">
        <v>2.9592526510792099</v>
      </c>
      <c r="R13" s="34">
        <v>6.60854998154913</v>
      </c>
      <c r="S13" s="29">
        <v>325.81531867189699</v>
      </c>
      <c r="T13" s="29">
        <v>330.42948847567902</v>
      </c>
      <c r="U13" s="29">
        <v>306.303937451617</v>
      </c>
      <c r="V13" s="29">
        <v>312.41420874552199</v>
      </c>
      <c r="W13" s="34">
        <v>-1.4372034156728499</v>
      </c>
      <c r="X13" s="21">
        <v>4</v>
      </c>
      <c r="Y13" s="21">
        <v>2</v>
      </c>
      <c r="Z13" s="34">
        <v>-2.71116193832149</v>
      </c>
      <c r="AA13">
        <v>1.2739585226486401</v>
      </c>
    </row>
    <row r="14" spans="2:29">
      <c r="B14" t="s">
        <v>18</v>
      </c>
      <c r="C14" s="1">
        <v>3</v>
      </c>
      <c r="D14" s="1">
        <v>3</v>
      </c>
      <c r="E14" s="1">
        <v>5</v>
      </c>
      <c r="F14" s="1">
        <v>3</v>
      </c>
      <c r="G14" s="1">
        <v>2</v>
      </c>
      <c r="H14" s="1">
        <v>5</v>
      </c>
      <c r="I14" s="1">
        <v>3</v>
      </c>
      <c r="J14" s="1">
        <v>6</v>
      </c>
      <c r="K14" s="26">
        <v>0.447318603462802</v>
      </c>
      <c r="L14" s="26">
        <v>0.100177280797298</v>
      </c>
      <c r="M14" s="26">
        <v>1.0041091244012701</v>
      </c>
      <c r="N14" s="26">
        <v>0.51579090565238594</v>
      </c>
      <c r="O14" s="34">
        <v>3.99722660224367</v>
      </c>
      <c r="P14" s="34">
        <v>-10.1948989244661</v>
      </c>
      <c r="Q14" s="34">
        <v>2.6975753228351702</v>
      </c>
      <c r="R14" s="34">
        <v>7.3189876971633296</v>
      </c>
      <c r="S14" s="29">
        <v>333.88712650179701</v>
      </c>
      <c r="T14" s="51">
        <v>508.85614968288701</v>
      </c>
      <c r="U14" s="29">
        <v>297.01384355872602</v>
      </c>
      <c r="V14" s="29">
        <v>299.749561113308</v>
      </c>
      <c r="W14" s="34">
        <v>-3.5964689677417399</v>
      </c>
      <c r="X14" s="21">
        <v>6</v>
      </c>
      <c r="Y14" s="21">
        <v>3</v>
      </c>
      <c r="Z14" s="34">
        <v>-1.74265800249307</v>
      </c>
      <c r="AA14">
        <v>-1.8538109652486701</v>
      </c>
    </row>
    <row r="15" spans="2:29">
      <c r="B15" t="s">
        <v>18</v>
      </c>
      <c r="C15" s="1">
        <v>4</v>
      </c>
      <c r="D15" s="1">
        <v>1</v>
      </c>
      <c r="E15" s="1">
        <v>2</v>
      </c>
      <c r="F15" s="1">
        <v>1</v>
      </c>
      <c r="G15" s="1">
        <v>3</v>
      </c>
      <c r="H15" s="1">
        <v>5</v>
      </c>
      <c r="I15" s="1">
        <v>2</v>
      </c>
      <c r="J15" s="1">
        <v>4</v>
      </c>
      <c r="K15" s="26">
        <v>2.4923420803007201</v>
      </c>
      <c r="L15" s="26">
        <v>1.4773868176251901</v>
      </c>
      <c r="M15" s="26">
        <v>2.89165465871169</v>
      </c>
      <c r="N15" s="26">
        <v>1.7691511343055599</v>
      </c>
      <c r="O15" s="34">
        <v>1.80924034829098</v>
      </c>
      <c r="P15" s="34">
        <v>3.7820988705844898</v>
      </c>
      <c r="Q15" s="34">
        <v>1.7372440542756</v>
      </c>
      <c r="R15" s="34">
        <v>3.4346427225745302</v>
      </c>
      <c r="S15" s="29">
        <v>323.39538219405603</v>
      </c>
      <c r="T15" s="29">
        <v>325.14157894625203</v>
      </c>
      <c r="U15" s="29">
        <v>319.85840219955998</v>
      </c>
      <c r="V15" s="29">
        <v>322.03719912267201</v>
      </c>
      <c r="W15" s="34">
        <v>-0.51576252668516698</v>
      </c>
      <c r="X15" s="21">
        <v>1</v>
      </c>
      <c r="Y15" s="21">
        <v>1</v>
      </c>
      <c r="Z15" s="34">
        <v>-9.5101097039073608</v>
      </c>
      <c r="AA15">
        <v>8.9943471772222008</v>
      </c>
    </row>
    <row r="16" spans="2:29">
      <c r="B16" t="s">
        <v>18</v>
      </c>
      <c r="C16" s="1">
        <v>6</v>
      </c>
      <c r="D16" s="1">
        <v>2</v>
      </c>
      <c r="E16" s="1">
        <v>4</v>
      </c>
      <c r="F16" s="1">
        <v>2</v>
      </c>
      <c r="G16" s="1">
        <v>1</v>
      </c>
      <c r="H16" s="1">
        <v>6</v>
      </c>
      <c r="I16" s="1">
        <v>3</v>
      </c>
      <c r="J16" s="1">
        <v>5</v>
      </c>
      <c r="K16" s="26">
        <v>1.8350582866556899</v>
      </c>
      <c r="L16" s="26">
        <v>0.50233069543804798</v>
      </c>
      <c r="M16" s="26">
        <v>2.5089290203192398</v>
      </c>
      <c r="N16" s="26">
        <v>0.81735863955021903</v>
      </c>
      <c r="O16" s="34">
        <v>3.3716433777774899</v>
      </c>
      <c r="P16" s="34">
        <v>7.5311337058149999</v>
      </c>
      <c r="Q16" s="34">
        <v>2.9131136569859502</v>
      </c>
      <c r="R16" s="34">
        <v>4.9027648260490198</v>
      </c>
      <c r="S16" s="29">
        <v>324.28656269215202</v>
      </c>
      <c r="T16" s="29">
        <v>331.389027296743</v>
      </c>
      <c r="U16" s="29">
        <v>312.97491947553499</v>
      </c>
      <c r="V16" s="29">
        <v>321.458736838493</v>
      </c>
      <c r="W16" s="34">
        <v>-0.78389343190134497</v>
      </c>
      <c r="X16" s="21">
        <v>3</v>
      </c>
      <c r="Y16" s="21">
        <v>2</v>
      </c>
      <c r="Z16" s="34">
        <v>-3.1796843967453601</v>
      </c>
      <c r="AA16">
        <v>2.3957909648440201</v>
      </c>
    </row>
    <row r="17" spans="2:27">
      <c r="B17" s="5" t="s">
        <v>18</v>
      </c>
      <c r="C17" s="4">
        <v>2</v>
      </c>
      <c r="D17" s="4">
        <v>3</v>
      </c>
      <c r="E17" s="4">
        <v>6</v>
      </c>
      <c r="F17" s="4">
        <v>3</v>
      </c>
      <c r="G17" s="4">
        <v>2</v>
      </c>
      <c r="H17" s="4">
        <v>4</v>
      </c>
      <c r="I17" s="4">
        <v>1</v>
      </c>
      <c r="J17" s="4">
        <v>6</v>
      </c>
      <c r="K17" s="27">
        <v>2.8023244226120001</v>
      </c>
      <c r="L17" s="27">
        <v>0.52201945003684502</v>
      </c>
      <c r="M17" s="27">
        <v>3.13902460488434</v>
      </c>
      <c r="N17" s="27">
        <v>0.68921066990403201</v>
      </c>
      <c r="O17" s="41">
        <v>2.5822444575364001</v>
      </c>
      <c r="P17" s="41">
        <v>3.1662117592799799</v>
      </c>
      <c r="Q17" s="41">
        <v>2.4729998811461802</v>
      </c>
      <c r="R17" s="41">
        <v>2.7980089856824701</v>
      </c>
      <c r="S17" s="30">
        <v>325.84367107070102</v>
      </c>
      <c r="T17" s="30">
        <v>331.76901588340502</v>
      </c>
      <c r="U17" s="30">
        <v>324.05440272248097</v>
      </c>
      <c r="V17" s="30">
        <v>331.59185341002399</v>
      </c>
      <c r="W17" s="41">
        <v>-0.29573565265037</v>
      </c>
      <c r="X17" s="22">
        <v>5</v>
      </c>
      <c r="Y17" s="22">
        <v>3</v>
      </c>
      <c r="Z17" s="41">
        <v>-3.8281197132257101</v>
      </c>
      <c r="AA17">
        <v>3.5323840605753398</v>
      </c>
    </row>
    <row r="18" spans="2:27">
      <c r="W18" s="1"/>
    </row>
    <row r="19" spans="2:27">
      <c r="T19" s="65" t="s">
        <v>22</v>
      </c>
      <c r="U19" s="65"/>
      <c r="W19" s="1"/>
    </row>
    <row r="20" spans="2:27">
      <c r="G20" t="s">
        <v>38</v>
      </c>
      <c r="H20" t="s">
        <v>23</v>
      </c>
      <c r="K20" s="63" t="s">
        <v>0</v>
      </c>
      <c r="L20" s="63"/>
      <c r="M20" s="63"/>
      <c r="N20" s="63"/>
      <c r="O20" s="63"/>
      <c r="P20" s="63"/>
      <c r="Q20" s="10" t="s">
        <v>2</v>
      </c>
      <c r="S20" s="10" t="s">
        <v>1</v>
      </c>
      <c r="W20" s="1"/>
    </row>
    <row r="21" spans="2:27">
      <c r="F21" s="49"/>
      <c r="G21" s="9">
        <v>1</v>
      </c>
      <c r="H21">
        <v>1</v>
      </c>
      <c r="J21">
        <v>1</v>
      </c>
      <c r="K21" s="52">
        <v>-3.10250451165843</v>
      </c>
      <c r="L21" s="52">
        <v>0</v>
      </c>
      <c r="M21" s="52">
        <v>0</v>
      </c>
      <c r="N21" s="52">
        <v>0</v>
      </c>
      <c r="O21" s="52">
        <v>3.99724211549856</v>
      </c>
      <c r="P21" s="52">
        <v>0</v>
      </c>
      <c r="Q21" s="18">
        <v>0.1</v>
      </c>
      <c r="S21" s="19">
        <f t="array" ref="S21:S32">MMULT(K21:P32,Q21:Q26)</f>
        <v>0.19999999999999996</v>
      </c>
      <c r="T21" s="46" t="s">
        <v>32</v>
      </c>
      <c r="U21" s="2">
        <f>Q22*O15</f>
        <v>0.26183913738583497</v>
      </c>
      <c r="V21" s="8"/>
      <c r="W21" s="8"/>
    </row>
    <row r="22" spans="2:27">
      <c r="F22" s="49"/>
      <c r="G22" s="9">
        <v>1</v>
      </c>
      <c r="H22">
        <v>1</v>
      </c>
      <c r="J22">
        <v>2</v>
      </c>
      <c r="K22" s="52">
        <v>9.9042735781241102</v>
      </c>
      <c r="L22" s="52">
        <v>0</v>
      </c>
      <c r="M22" s="52">
        <v>-3.2783204774351402</v>
      </c>
      <c r="N22" s="52">
        <v>0</v>
      </c>
      <c r="O22" s="52">
        <v>0</v>
      </c>
      <c r="P22" s="52">
        <v>0</v>
      </c>
      <c r="Q22" s="18">
        <v>0.14472324676661666</v>
      </c>
      <c r="S22" s="19">
        <v>0.5922297537343455</v>
      </c>
      <c r="T22" s="6" t="s">
        <v>33</v>
      </c>
      <c r="U22" s="1">
        <f>O6*Q21</f>
        <v>0.31025045116584304</v>
      </c>
      <c r="V22" s="9"/>
      <c r="W22" s="9"/>
    </row>
    <row r="23" spans="2:27">
      <c r="F23" s="49"/>
      <c r="G23" s="9">
        <v>1</v>
      </c>
      <c r="H23">
        <v>1</v>
      </c>
      <c r="J23">
        <v>3</v>
      </c>
      <c r="K23" s="52">
        <v>0</v>
      </c>
      <c r="L23" s="52">
        <v>0</v>
      </c>
      <c r="M23" s="52">
        <v>3.68017793076476</v>
      </c>
      <c r="N23" s="52">
        <v>0</v>
      </c>
      <c r="O23" s="52">
        <v>-1.93503777030206</v>
      </c>
      <c r="P23" s="52">
        <v>0</v>
      </c>
      <c r="Q23" s="18">
        <v>0.12146390409933426</v>
      </c>
      <c r="R23" s="10" t="s">
        <v>26</v>
      </c>
      <c r="S23" s="19">
        <v>0.20000000000000004</v>
      </c>
      <c r="T23" s="6" t="s">
        <v>37</v>
      </c>
      <c r="U23" s="1">
        <f>Q24*O16</f>
        <v>0.41171765267066485</v>
      </c>
      <c r="V23" s="8"/>
      <c r="W23" s="8"/>
    </row>
    <row r="24" spans="2:27">
      <c r="F24" s="49"/>
      <c r="G24" s="9">
        <v>2</v>
      </c>
      <c r="H24">
        <v>2</v>
      </c>
      <c r="J24">
        <v>4</v>
      </c>
      <c r="K24" s="52">
        <v>0</v>
      </c>
      <c r="L24" s="52">
        <v>0</v>
      </c>
      <c r="M24" s="52">
        <v>1.17148199566441</v>
      </c>
      <c r="N24" s="52">
        <v>-3.1093265920374198</v>
      </c>
      <c r="O24" s="52">
        <v>0</v>
      </c>
      <c r="P24" s="52">
        <v>5.4732323429833603</v>
      </c>
      <c r="Q24" s="18">
        <v>0.12211186253691507</v>
      </c>
      <c r="S24" s="19">
        <v>0.30993034968456667</v>
      </c>
      <c r="T24" s="6" t="s">
        <v>34</v>
      </c>
      <c r="U24" s="1">
        <f>O7*Q23</f>
        <v>0.39819760407806559</v>
      </c>
      <c r="V24" s="9"/>
      <c r="W24" s="9"/>
    </row>
    <row r="25" spans="2:27">
      <c r="F25" s="49"/>
      <c r="G25" s="9">
        <v>3</v>
      </c>
      <c r="H25">
        <v>3</v>
      </c>
      <c r="J25">
        <v>5</v>
      </c>
      <c r="K25" s="52">
        <v>4.8085392593805798</v>
      </c>
      <c r="L25" s="52">
        <v>-2.3220186816543502</v>
      </c>
      <c r="M25" s="52">
        <v>0</v>
      </c>
      <c r="N25" s="52">
        <v>6.5993826321450699</v>
      </c>
      <c r="O25" s="52">
        <v>0</v>
      </c>
      <c r="P25" s="52">
        <v>0</v>
      </c>
      <c r="Q25" s="18">
        <v>0.12765062421098841</v>
      </c>
      <c r="S25" s="19">
        <v>0.95066674808130514</v>
      </c>
      <c r="T25" s="6" t="s">
        <v>36</v>
      </c>
      <c r="U25" s="1">
        <f>O17*Q26</f>
        <v>0.25822444575364001</v>
      </c>
      <c r="V25" s="8"/>
      <c r="W25" s="8"/>
    </row>
    <row r="26" spans="2:27">
      <c r="F26" s="49"/>
      <c r="G26" s="9">
        <v>4</v>
      </c>
      <c r="H26">
        <v>3</v>
      </c>
      <c r="J26">
        <v>6</v>
      </c>
      <c r="K26" s="52">
        <v>0</v>
      </c>
      <c r="L26" s="52">
        <v>5.2197399853786397</v>
      </c>
      <c r="M26" s="52">
        <v>0</v>
      </c>
      <c r="N26" s="52">
        <v>0</v>
      </c>
      <c r="O26" s="52">
        <v>1.0817945982081201</v>
      </c>
      <c r="P26" s="52">
        <v>-4.2103101763053097</v>
      </c>
      <c r="Q26" s="18">
        <v>0.1</v>
      </c>
      <c r="S26" s="19">
        <v>0.47247845606033989</v>
      </c>
      <c r="T26" s="6" t="s">
        <v>35</v>
      </c>
      <c r="U26" s="4">
        <f>O8*Q25</f>
        <v>0.24700877925089718</v>
      </c>
    </row>
    <row r="27" spans="2:27">
      <c r="F27" s="49"/>
      <c r="G27" s="9">
        <v>1</v>
      </c>
      <c r="H27">
        <v>1</v>
      </c>
      <c r="J27">
        <v>7</v>
      </c>
      <c r="K27" s="52">
        <v>0</v>
      </c>
      <c r="L27" s="52">
        <v>-1.80924034829098</v>
      </c>
      <c r="M27" s="52">
        <v>0</v>
      </c>
      <c r="N27" s="52">
        <v>3.7820988705844898</v>
      </c>
      <c r="O27" s="52">
        <v>0</v>
      </c>
      <c r="P27" s="52">
        <v>0</v>
      </c>
      <c r="S27" s="19">
        <v>0.19999999999999996</v>
      </c>
      <c r="T27" s="6" t="s">
        <v>21</v>
      </c>
      <c r="U27" s="7">
        <f>SUM(U21:U26)</f>
        <v>1.8872380703049458</v>
      </c>
    </row>
    <row r="28" spans="2:27">
      <c r="F28" s="49"/>
      <c r="G28" s="9">
        <v>1</v>
      </c>
      <c r="H28">
        <v>1</v>
      </c>
      <c r="J28">
        <v>8</v>
      </c>
      <c r="K28" s="52">
        <v>0</v>
      </c>
      <c r="L28" s="52">
        <v>0</v>
      </c>
      <c r="M28" s="52">
        <v>0</v>
      </c>
      <c r="N28" s="52">
        <v>-3.3716433777774899</v>
      </c>
      <c r="O28" s="52">
        <v>0</v>
      </c>
      <c r="P28" s="52">
        <v>7.5311337058149999</v>
      </c>
      <c r="S28" s="19">
        <v>0.34139571791083523</v>
      </c>
    </row>
    <row r="29" spans="2:27">
      <c r="F29" s="49"/>
      <c r="G29" s="9">
        <v>1</v>
      </c>
      <c r="H29">
        <v>1</v>
      </c>
      <c r="J29">
        <v>9</v>
      </c>
      <c r="K29" s="52">
        <v>0</v>
      </c>
      <c r="L29" s="52">
        <v>3.1662117592799799</v>
      </c>
      <c r="M29" s="52">
        <v>0</v>
      </c>
      <c r="N29" s="52">
        <v>0</v>
      </c>
      <c r="O29" s="52">
        <v>0</v>
      </c>
      <c r="P29" s="52">
        <v>-2.5822444575364001</v>
      </c>
      <c r="S29" s="19">
        <v>0.2</v>
      </c>
    </row>
    <row r="30" spans="2:27">
      <c r="F30" s="49"/>
      <c r="G30" s="9">
        <v>2</v>
      </c>
      <c r="H30">
        <v>3</v>
      </c>
      <c r="J30">
        <v>10</v>
      </c>
      <c r="K30" s="52">
        <v>6.60854998154913</v>
      </c>
      <c r="L30" s="52">
        <v>0</v>
      </c>
      <c r="M30" s="52">
        <v>-2.9592526510792099</v>
      </c>
      <c r="N30" s="52">
        <v>1.4372034156728499</v>
      </c>
      <c r="O30" s="52">
        <v>0</v>
      </c>
      <c r="P30" s="52">
        <v>0</v>
      </c>
      <c r="S30" s="19">
        <v>0.47691220387075506</v>
      </c>
    </row>
    <row r="31" spans="2:27">
      <c r="F31" s="49"/>
      <c r="G31" s="9">
        <v>4</v>
      </c>
      <c r="H31">
        <v>3</v>
      </c>
      <c r="J31">
        <v>11</v>
      </c>
      <c r="K31" s="52">
        <v>-5.1062334759296597</v>
      </c>
      <c r="L31" s="52">
        <v>0.93277301965898096</v>
      </c>
      <c r="M31" s="52">
        <v>0</v>
      </c>
      <c r="N31" s="52">
        <v>0</v>
      </c>
      <c r="O31" s="52">
        <v>6.4789032831356099</v>
      </c>
      <c r="P31" s="52">
        <v>0</v>
      </c>
      <c r="S31" s="19">
        <v>0.45140664060326563</v>
      </c>
    </row>
    <row r="32" spans="2:27">
      <c r="G32" s="9">
        <v>5</v>
      </c>
      <c r="H32">
        <v>3</v>
      </c>
      <c r="J32">
        <v>12</v>
      </c>
      <c r="K32" s="52">
        <v>0</v>
      </c>
      <c r="L32" s="52">
        <v>0</v>
      </c>
      <c r="M32" s="52">
        <v>7.3189876971633296</v>
      </c>
      <c r="N32" s="52">
        <v>0</v>
      </c>
      <c r="O32" s="52">
        <v>-2.6975753228351702</v>
      </c>
      <c r="P32" s="52">
        <v>1.74265800249307</v>
      </c>
      <c r="Q32" s="48"/>
      <c r="S32" s="19">
        <v>0.71891144618569292</v>
      </c>
    </row>
    <row r="36" spans="18:23">
      <c r="R36" s="1"/>
      <c r="S36" s="1"/>
      <c r="T36" s="1"/>
      <c r="U36" s="1"/>
      <c r="V36" s="1"/>
      <c r="W36" s="1"/>
    </row>
    <row r="66" spans="3:27">
      <c r="C66">
        <v>5</v>
      </c>
      <c r="D66">
        <v>1</v>
      </c>
      <c r="E66">
        <v>1</v>
      </c>
      <c r="F66">
        <v>1</v>
      </c>
      <c r="G66">
        <v>3</v>
      </c>
      <c r="H66">
        <v>6</v>
      </c>
      <c r="I66">
        <v>1</v>
      </c>
      <c r="J66">
        <v>4</v>
      </c>
      <c r="K66">
        <v>4.99369553541408</v>
      </c>
      <c r="L66">
        <v>0.81941997771886399</v>
      </c>
      <c r="M66">
        <v>5.2130821154335401</v>
      </c>
      <c r="N66">
        <v>1.04699092948913</v>
      </c>
      <c r="O66">
        <v>2.4198556495023702</v>
      </c>
      <c r="P66">
        <v>2.93926369586231</v>
      </c>
      <c r="Q66">
        <v>2.3823813307753099</v>
      </c>
      <c r="R66">
        <v>2.65258900451615</v>
      </c>
      <c r="S66">
        <v>271.53505780499199</v>
      </c>
      <c r="T66">
        <v>279.39567902267601</v>
      </c>
      <c r="U66">
        <v>272.33131954437101</v>
      </c>
      <c r="V66">
        <v>281.68539569519299</v>
      </c>
      <c r="W66">
        <v>-0.20174528091333699</v>
      </c>
      <c r="X66" s="1">
        <v>2</v>
      </c>
      <c r="Y66" s="1">
        <v>1</v>
      </c>
      <c r="Z66">
        <v>-2.4208304451169398</v>
      </c>
      <c r="AA66">
        <v>2.2190851642035998</v>
      </c>
    </row>
    <row r="67" spans="3:27">
      <c r="C67">
        <v>1</v>
      </c>
      <c r="D67">
        <v>2</v>
      </c>
      <c r="E67">
        <v>3</v>
      </c>
      <c r="F67">
        <v>2</v>
      </c>
      <c r="G67">
        <v>1</v>
      </c>
      <c r="H67">
        <v>4</v>
      </c>
      <c r="I67">
        <v>2</v>
      </c>
      <c r="J67">
        <v>5</v>
      </c>
      <c r="K67">
        <v>2.7750528410720801</v>
      </c>
      <c r="L67">
        <v>1.03774168958248</v>
      </c>
      <c r="M67">
        <v>3.0055624570558899</v>
      </c>
      <c r="N67">
        <v>1.2749251903227401</v>
      </c>
      <c r="O67">
        <v>2.5921016309279299</v>
      </c>
      <c r="P67">
        <v>5.5708124195275497</v>
      </c>
      <c r="Q67">
        <v>2.5137509147613</v>
      </c>
      <c r="R67">
        <v>4.76839968559797</v>
      </c>
      <c r="S67">
        <v>272.86906267278403</v>
      </c>
      <c r="T67">
        <v>277.69211387785703</v>
      </c>
      <c r="U67">
        <v>274.46500163868097</v>
      </c>
      <c r="V67">
        <v>280.57527290467698</v>
      </c>
      <c r="W67">
        <v>-0.330161369875977</v>
      </c>
      <c r="X67" s="1">
        <v>4</v>
      </c>
      <c r="Y67" s="1">
        <v>2</v>
      </c>
      <c r="Z67">
        <v>-2.8132502644092501</v>
      </c>
      <c r="AA67">
        <v>2.4830888945332799</v>
      </c>
    </row>
    <row r="68" spans="3:27">
      <c r="C68">
        <v>3</v>
      </c>
      <c r="D68">
        <v>3</v>
      </c>
      <c r="E68">
        <v>5</v>
      </c>
      <c r="F68">
        <v>3</v>
      </c>
      <c r="G68">
        <v>2</v>
      </c>
      <c r="H68">
        <v>5</v>
      </c>
      <c r="I68">
        <v>3</v>
      </c>
      <c r="J68">
        <v>6</v>
      </c>
      <c r="K68">
        <v>4.5680303446839297</v>
      </c>
      <c r="L68">
        <v>2.2468792654099898</v>
      </c>
      <c r="M68">
        <v>4.7673815476103503</v>
      </c>
      <c r="N68">
        <v>2.4489091774686398</v>
      </c>
      <c r="O68">
        <v>1.6615561712812701</v>
      </c>
      <c r="P68">
        <v>2.8243458766258902</v>
      </c>
      <c r="Q68">
        <v>1.6434810430190101</v>
      </c>
      <c r="R68">
        <v>2.7249057582615999</v>
      </c>
      <c r="S68">
        <v>272.059266794564</v>
      </c>
      <c r="T68">
        <v>274.18938946975902</v>
      </c>
      <c r="U68">
        <v>272.88266569008698</v>
      </c>
      <c r="V68">
        <v>275.61838326911197</v>
      </c>
      <c r="W68">
        <v>-0.113915124049891</v>
      </c>
      <c r="X68" s="1">
        <v>6</v>
      </c>
      <c r="Y68" s="1">
        <v>3</v>
      </c>
      <c r="Z68">
        <v>-4.6311966146620804</v>
      </c>
      <c r="AA68">
        <v>4.5172814906121896</v>
      </c>
    </row>
    <row r="69" spans="3:27">
      <c r="C69">
        <v>4</v>
      </c>
      <c r="D69">
        <v>1</v>
      </c>
      <c r="E69">
        <v>2</v>
      </c>
      <c r="F69">
        <v>1</v>
      </c>
      <c r="G69">
        <v>3</v>
      </c>
      <c r="H69">
        <v>5</v>
      </c>
      <c r="I69">
        <v>2</v>
      </c>
      <c r="J69">
        <v>4</v>
      </c>
      <c r="K69">
        <v>0.956272817526295</v>
      </c>
      <c r="L69">
        <v>0.18351617502777101</v>
      </c>
      <c r="M69">
        <v>1.23336438851312</v>
      </c>
      <c r="N69">
        <v>0.75458803687115605</v>
      </c>
      <c r="O69">
        <v>2.4589095597039301</v>
      </c>
      <c r="P69">
        <v>-26.1567489555888</v>
      </c>
      <c r="Q69">
        <v>2.24616609413899</v>
      </c>
      <c r="R69">
        <v>6.0409597033869904</v>
      </c>
      <c r="S69">
        <v>277.27749095451901</v>
      </c>
      <c r="T69">
        <v>274.36462167229098</v>
      </c>
      <c r="U69">
        <v>280.76247494760298</v>
      </c>
      <c r="V69">
        <v>282.94127190478002</v>
      </c>
      <c r="W69">
        <v>-2.7693621834472499</v>
      </c>
      <c r="X69" s="1">
        <v>1</v>
      </c>
      <c r="Y69" s="1">
        <v>1</v>
      </c>
      <c r="Z69">
        <v>-2.2104911061785399</v>
      </c>
      <c r="AA69">
        <v>-0.55887107726871099</v>
      </c>
    </row>
    <row r="70" spans="3:27">
      <c r="C70">
        <v>6</v>
      </c>
      <c r="D70">
        <v>2</v>
      </c>
      <c r="E70">
        <v>4</v>
      </c>
      <c r="F70">
        <v>2</v>
      </c>
      <c r="G70">
        <v>1</v>
      </c>
      <c r="H70">
        <v>6</v>
      </c>
      <c r="I70">
        <v>3</v>
      </c>
      <c r="J70">
        <v>5</v>
      </c>
      <c r="K70">
        <v>2.53319051677527</v>
      </c>
      <c r="L70">
        <v>0.61920712427605096</v>
      </c>
      <c r="M70">
        <v>2.7676300354769801</v>
      </c>
      <c r="N70">
        <v>0.90163822996824805</v>
      </c>
      <c r="O70">
        <v>2.9009360298039302</v>
      </c>
      <c r="P70">
        <v>6.1242826952392697</v>
      </c>
      <c r="Q70">
        <v>2.7934300498087401</v>
      </c>
      <c r="R70">
        <v>4.5787467516253102</v>
      </c>
      <c r="S70">
        <v>274.28422228755301</v>
      </c>
      <c r="T70">
        <v>281.342239405025</v>
      </c>
      <c r="U70">
        <v>275.91680439891701</v>
      </c>
      <c r="V70">
        <v>284.400621765822</v>
      </c>
      <c r="W70">
        <v>-0.55808696516542999</v>
      </c>
      <c r="X70" s="1">
        <v>3</v>
      </c>
      <c r="Y70" s="1">
        <v>2</v>
      </c>
      <c r="Z70">
        <v>-2.4960407653255698</v>
      </c>
      <c r="AA70">
        <v>1.93795380016014</v>
      </c>
    </row>
    <row r="71" spans="3:27">
      <c r="C71">
        <v>2</v>
      </c>
      <c r="D71">
        <v>3</v>
      </c>
      <c r="E71">
        <v>6</v>
      </c>
      <c r="F71">
        <v>3</v>
      </c>
      <c r="G71">
        <v>2</v>
      </c>
      <c r="H71">
        <v>4</v>
      </c>
      <c r="I71">
        <v>1</v>
      </c>
      <c r="J71">
        <v>6</v>
      </c>
      <c r="K71">
        <v>0.87257388038814698</v>
      </c>
      <c r="L71">
        <v>0.77634494206567795</v>
      </c>
      <c r="M71">
        <v>1.1273117550535601</v>
      </c>
      <c r="N71">
        <v>0.24751487721888599</v>
      </c>
      <c r="O71">
        <v>4.6821308637508396</v>
      </c>
      <c r="P71">
        <v>2.6647028301328799</v>
      </c>
      <c r="Q71">
        <v>3.9783456200974499</v>
      </c>
      <c r="R71">
        <v>4.86990509840349</v>
      </c>
      <c r="S71">
        <v>279.76305459266399</v>
      </c>
      <c r="T71">
        <v>458.80355998950898</v>
      </c>
      <c r="U71">
        <v>282.87503584047801</v>
      </c>
      <c r="V71">
        <v>290.41248652365198</v>
      </c>
      <c r="W71">
        <v>1.62479145109326</v>
      </c>
      <c r="X71" s="1">
        <v>5</v>
      </c>
      <c r="Y71" s="1">
        <v>3</v>
      </c>
      <c r="Z71">
        <v>-1.41180264048991</v>
      </c>
      <c r="AA71">
        <v>3.03659409158317</v>
      </c>
    </row>
    <row r="73" spans="3:27">
      <c r="C73">
        <f>C12</f>
        <v>5</v>
      </c>
      <c r="D73">
        <f t="shared" ref="D73:AA73" si="0">D12</f>
        <v>1</v>
      </c>
      <c r="E73">
        <f t="shared" si="0"/>
        <v>1</v>
      </c>
      <c r="F73">
        <f t="shared" si="0"/>
        <v>1</v>
      </c>
      <c r="G73">
        <f t="shared" si="0"/>
        <v>3</v>
      </c>
      <c r="H73">
        <f t="shared" si="0"/>
        <v>6</v>
      </c>
      <c r="I73">
        <f t="shared" si="0"/>
        <v>1</v>
      </c>
      <c r="J73">
        <f t="shared" si="0"/>
        <v>4</v>
      </c>
      <c r="K73">
        <f t="shared" si="0"/>
        <v>0.60522613951374205</v>
      </c>
      <c r="L73">
        <f t="shared" si="0"/>
        <v>0.36112845133603699</v>
      </c>
      <c r="M73">
        <f t="shared" si="0"/>
        <v>1.1600282003590401</v>
      </c>
      <c r="N73">
        <f t="shared" si="0"/>
        <v>0.23297906630978099</v>
      </c>
      <c r="O73">
        <f t="shared" si="0"/>
        <v>9.9042354760899602</v>
      </c>
      <c r="P73">
        <f t="shared" si="0"/>
        <v>4.5747035289044602</v>
      </c>
      <c r="Q73">
        <f t="shared" si="0"/>
        <v>5.1062334759296597</v>
      </c>
      <c r="R73">
        <f t="shared" si="0"/>
        <v>6.4789032831356099</v>
      </c>
      <c r="S73">
        <f t="shared" si="0"/>
        <v>328.54944602794001</v>
      </c>
      <c r="T73">
        <f t="shared" si="0"/>
        <v>512.19959714321101</v>
      </c>
      <c r="U73">
        <f t="shared" si="0"/>
        <v>297.41290340109902</v>
      </c>
      <c r="V73">
        <f t="shared" si="0"/>
        <v>306.76697955615401</v>
      </c>
      <c r="W73">
        <f t="shared" si="0"/>
        <v>1.6295554806386101</v>
      </c>
      <c r="X73">
        <f t="shared" si="0"/>
        <v>2</v>
      </c>
      <c r="Y73">
        <f t="shared" si="0"/>
        <v>1</v>
      </c>
      <c r="Z73">
        <f t="shared" si="0"/>
        <v>-0.93277301965898096</v>
      </c>
      <c r="AA73">
        <f t="shared" si="0"/>
        <v>2.56232850029759</v>
      </c>
    </row>
    <row r="74" spans="3:27">
      <c r="C74">
        <f t="shared" ref="C74:AA78" si="1">C13</f>
        <v>1</v>
      </c>
      <c r="D74">
        <f t="shared" si="1"/>
        <v>2</v>
      </c>
      <c r="E74">
        <f t="shared" si="1"/>
        <v>3</v>
      </c>
      <c r="F74">
        <f t="shared" si="1"/>
        <v>2</v>
      </c>
      <c r="G74">
        <f t="shared" si="1"/>
        <v>1</v>
      </c>
      <c r="H74">
        <f t="shared" si="1"/>
        <v>4</v>
      </c>
      <c r="I74">
        <f t="shared" si="1"/>
        <v>2</v>
      </c>
      <c r="J74">
        <f t="shared" si="1"/>
        <v>5</v>
      </c>
      <c r="K74">
        <f t="shared" si="1"/>
        <v>1.29351010394927</v>
      </c>
      <c r="L74">
        <f t="shared" si="1"/>
        <v>0.44693597994615197</v>
      </c>
      <c r="M74">
        <f t="shared" si="1"/>
        <v>2.0173293009279498</v>
      </c>
      <c r="N74">
        <f t="shared" si="1"/>
        <v>0.85572799877425898</v>
      </c>
      <c r="O74">
        <f t="shared" si="1"/>
        <v>3.6801728672684701</v>
      </c>
      <c r="P74">
        <f t="shared" si="1"/>
        <v>17.490109282111298</v>
      </c>
      <c r="Q74">
        <f t="shared" si="1"/>
        <v>2.9592526510792099</v>
      </c>
      <c r="R74">
        <f t="shared" si="1"/>
        <v>6.60854998154913</v>
      </c>
      <c r="S74">
        <f t="shared" si="1"/>
        <v>325.81531867189699</v>
      </c>
      <c r="T74">
        <f t="shared" si="1"/>
        <v>330.42948847567902</v>
      </c>
      <c r="U74">
        <f t="shared" si="1"/>
        <v>306.303937451617</v>
      </c>
      <c r="V74">
        <f t="shared" si="1"/>
        <v>312.41420874552199</v>
      </c>
      <c r="W74">
        <f t="shared" si="1"/>
        <v>-1.4372034156728499</v>
      </c>
      <c r="X74">
        <f t="shared" si="1"/>
        <v>4</v>
      </c>
      <c r="Y74">
        <f t="shared" si="1"/>
        <v>2</v>
      </c>
      <c r="Z74">
        <f t="shared" si="1"/>
        <v>-2.71116193832149</v>
      </c>
      <c r="AA74">
        <f t="shared" si="1"/>
        <v>1.2739585226486401</v>
      </c>
    </row>
    <row r="75" spans="3:27">
      <c r="C75">
        <f t="shared" si="1"/>
        <v>3</v>
      </c>
      <c r="D75">
        <f t="shared" si="1"/>
        <v>3</v>
      </c>
      <c r="E75">
        <f t="shared" si="1"/>
        <v>5</v>
      </c>
      <c r="F75">
        <f t="shared" si="1"/>
        <v>3</v>
      </c>
      <c r="G75">
        <f t="shared" si="1"/>
        <v>2</v>
      </c>
      <c r="H75">
        <f t="shared" si="1"/>
        <v>5</v>
      </c>
      <c r="I75">
        <f t="shared" si="1"/>
        <v>3</v>
      </c>
      <c r="J75">
        <f t="shared" si="1"/>
        <v>6</v>
      </c>
      <c r="K75">
        <f t="shared" si="1"/>
        <v>0.447318603462802</v>
      </c>
      <c r="L75">
        <f t="shared" si="1"/>
        <v>0.100177280797298</v>
      </c>
      <c r="M75">
        <f t="shared" si="1"/>
        <v>1.0041091244012701</v>
      </c>
      <c r="N75">
        <f t="shared" si="1"/>
        <v>0.51579090565238594</v>
      </c>
      <c r="O75">
        <f t="shared" si="1"/>
        <v>3.99722660224367</v>
      </c>
      <c r="P75">
        <f t="shared" si="1"/>
        <v>-10.1948989244661</v>
      </c>
      <c r="Q75">
        <f t="shared" si="1"/>
        <v>2.6975753228351702</v>
      </c>
      <c r="R75">
        <f t="shared" si="1"/>
        <v>7.3189876971633296</v>
      </c>
      <c r="S75">
        <f t="shared" si="1"/>
        <v>333.88712650179701</v>
      </c>
      <c r="T75">
        <f t="shared" si="1"/>
        <v>508.85614968288701</v>
      </c>
      <c r="U75">
        <f t="shared" si="1"/>
        <v>297.01384355872602</v>
      </c>
      <c r="V75">
        <f t="shared" si="1"/>
        <v>299.749561113308</v>
      </c>
      <c r="W75">
        <f t="shared" si="1"/>
        <v>-3.5964689677417399</v>
      </c>
      <c r="X75">
        <f t="shared" si="1"/>
        <v>6</v>
      </c>
      <c r="Y75">
        <f t="shared" si="1"/>
        <v>3</v>
      </c>
      <c r="Z75">
        <f t="shared" si="1"/>
        <v>-1.74265800249307</v>
      </c>
      <c r="AA75">
        <f t="shared" si="1"/>
        <v>-1.8538109652486701</v>
      </c>
    </row>
    <row r="76" spans="3:27">
      <c r="C76">
        <f t="shared" si="1"/>
        <v>4</v>
      </c>
      <c r="D76">
        <f t="shared" si="1"/>
        <v>1</v>
      </c>
      <c r="E76">
        <f t="shared" si="1"/>
        <v>2</v>
      </c>
      <c r="F76">
        <f t="shared" si="1"/>
        <v>1</v>
      </c>
      <c r="G76">
        <f t="shared" si="1"/>
        <v>3</v>
      </c>
      <c r="H76">
        <f t="shared" si="1"/>
        <v>5</v>
      </c>
      <c r="I76">
        <f t="shared" si="1"/>
        <v>2</v>
      </c>
      <c r="J76">
        <f t="shared" si="1"/>
        <v>4</v>
      </c>
      <c r="K76">
        <f t="shared" si="1"/>
        <v>2.4923420803007201</v>
      </c>
      <c r="L76">
        <f t="shared" si="1"/>
        <v>1.4773868176251901</v>
      </c>
      <c r="M76">
        <f t="shared" si="1"/>
        <v>2.89165465871169</v>
      </c>
      <c r="N76">
        <f t="shared" si="1"/>
        <v>1.7691511343055599</v>
      </c>
      <c r="O76">
        <f t="shared" si="1"/>
        <v>1.80924034829098</v>
      </c>
      <c r="P76">
        <f t="shared" si="1"/>
        <v>3.7820988705844898</v>
      </c>
      <c r="Q76">
        <f t="shared" si="1"/>
        <v>1.7372440542756</v>
      </c>
      <c r="R76">
        <f t="shared" si="1"/>
        <v>3.4346427225745302</v>
      </c>
      <c r="S76">
        <f t="shared" si="1"/>
        <v>323.39538219405603</v>
      </c>
      <c r="T76">
        <f t="shared" si="1"/>
        <v>325.14157894625203</v>
      </c>
      <c r="U76">
        <f t="shared" si="1"/>
        <v>319.85840219955998</v>
      </c>
      <c r="V76">
        <f t="shared" si="1"/>
        <v>322.03719912267201</v>
      </c>
      <c r="W76">
        <f t="shared" si="1"/>
        <v>-0.51576252668516698</v>
      </c>
      <c r="X76">
        <f t="shared" si="1"/>
        <v>1</v>
      </c>
      <c r="Y76">
        <f t="shared" si="1"/>
        <v>1</v>
      </c>
      <c r="Z76">
        <f t="shared" si="1"/>
        <v>-9.5101097039073608</v>
      </c>
      <c r="AA76">
        <f t="shared" si="1"/>
        <v>8.9943471772222008</v>
      </c>
    </row>
    <row r="77" spans="3:27">
      <c r="C77">
        <f t="shared" si="1"/>
        <v>6</v>
      </c>
      <c r="D77">
        <f t="shared" si="1"/>
        <v>2</v>
      </c>
      <c r="E77">
        <f t="shared" si="1"/>
        <v>4</v>
      </c>
      <c r="F77">
        <f t="shared" si="1"/>
        <v>2</v>
      </c>
      <c r="G77">
        <f t="shared" si="1"/>
        <v>1</v>
      </c>
      <c r="H77">
        <f t="shared" si="1"/>
        <v>6</v>
      </c>
      <c r="I77">
        <f t="shared" si="1"/>
        <v>3</v>
      </c>
      <c r="J77">
        <f t="shared" si="1"/>
        <v>5</v>
      </c>
      <c r="K77">
        <f t="shared" si="1"/>
        <v>1.8350582866556899</v>
      </c>
      <c r="L77">
        <f t="shared" si="1"/>
        <v>0.50233069543804798</v>
      </c>
      <c r="M77">
        <f t="shared" si="1"/>
        <v>2.5089290203192398</v>
      </c>
      <c r="N77">
        <f t="shared" si="1"/>
        <v>0.81735863955021903</v>
      </c>
      <c r="O77">
        <f t="shared" si="1"/>
        <v>3.3716433777774899</v>
      </c>
      <c r="P77">
        <f t="shared" si="1"/>
        <v>7.5311337058149999</v>
      </c>
      <c r="Q77">
        <f t="shared" si="1"/>
        <v>2.9131136569859502</v>
      </c>
      <c r="R77">
        <f t="shared" si="1"/>
        <v>4.9027648260490198</v>
      </c>
      <c r="S77">
        <f t="shared" si="1"/>
        <v>324.28656269215202</v>
      </c>
      <c r="T77">
        <f t="shared" si="1"/>
        <v>331.389027296743</v>
      </c>
      <c r="U77">
        <f t="shared" si="1"/>
        <v>312.97491947553499</v>
      </c>
      <c r="V77">
        <f t="shared" si="1"/>
        <v>321.458736838493</v>
      </c>
      <c r="W77">
        <f t="shared" si="1"/>
        <v>-0.78389343190134497</v>
      </c>
      <c r="X77">
        <f t="shared" si="1"/>
        <v>3</v>
      </c>
      <c r="Y77">
        <f t="shared" si="1"/>
        <v>2</v>
      </c>
      <c r="Z77">
        <f t="shared" si="1"/>
        <v>-3.1796843967453601</v>
      </c>
      <c r="AA77">
        <f t="shared" si="1"/>
        <v>2.3957909648440201</v>
      </c>
    </row>
    <row r="78" spans="3:27">
      <c r="C78">
        <f t="shared" si="1"/>
        <v>2</v>
      </c>
      <c r="D78">
        <f t="shared" si="1"/>
        <v>3</v>
      </c>
      <c r="E78">
        <f t="shared" si="1"/>
        <v>6</v>
      </c>
      <c r="F78">
        <f t="shared" si="1"/>
        <v>3</v>
      </c>
      <c r="G78">
        <f t="shared" si="1"/>
        <v>2</v>
      </c>
      <c r="H78">
        <f t="shared" si="1"/>
        <v>4</v>
      </c>
      <c r="I78">
        <f t="shared" si="1"/>
        <v>1</v>
      </c>
      <c r="J78">
        <f t="shared" si="1"/>
        <v>6</v>
      </c>
      <c r="K78">
        <f t="shared" si="1"/>
        <v>2.8023244226120001</v>
      </c>
      <c r="L78">
        <f t="shared" si="1"/>
        <v>0.52201945003684502</v>
      </c>
      <c r="M78">
        <f t="shared" si="1"/>
        <v>3.13902460488434</v>
      </c>
      <c r="N78">
        <f t="shared" si="1"/>
        <v>0.68921066990403201</v>
      </c>
      <c r="O78">
        <f t="shared" si="1"/>
        <v>2.5822444575364001</v>
      </c>
      <c r="P78">
        <f t="shared" si="1"/>
        <v>3.1662117592799799</v>
      </c>
      <c r="Q78">
        <f t="shared" si="1"/>
        <v>2.4729998811461802</v>
      </c>
      <c r="R78">
        <f t="shared" si="1"/>
        <v>2.7980089856824701</v>
      </c>
      <c r="S78">
        <f t="shared" si="1"/>
        <v>325.84367107070102</v>
      </c>
      <c r="T78">
        <f t="shared" si="1"/>
        <v>331.76901588340502</v>
      </c>
      <c r="U78">
        <f t="shared" si="1"/>
        <v>324.05440272248097</v>
      </c>
      <c r="V78">
        <f t="shared" si="1"/>
        <v>331.59185341002399</v>
      </c>
      <c r="W78">
        <f t="shared" si="1"/>
        <v>-0.29573565265037</v>
      </c>
      <c r="X78">
        <f t="shared" si="1"/>
        <v>5</v>
      </c>
      <c r="Y78">
        <f t="shared" si="1"/>
        <v>3</v>
      </c>
      <c r="Z78">
        <f t="shared" si="1"/>
        <v>-3.8281197132257101</v>
      </c>
      <c r="AA78">
        <f t="shared" si="1"/>
        <v>3.5323840605753398</v>
      </c>
    </row>
    <row r="80" spans="3:27">
      <c r="K80">
        <f t="shared" ref="K80:W80" si="2">K66-K73</f>
        <v>4.388469395900338</v>
      </c>
      <c r="L80">
        <f t="shared" si="2"/>
        <v>0.458291526382827</v>
      </c>
      <c r="M80">
        <f t="shared" si="2"/>
        <v>4.0530539150745</v>
      </c>
      <c r="N80">
        <f t="shared" si="2"/>
        <v>0.81401186317934893</v>
      </c>
      <c r="O80">
        <f t="shared" si="2"/>
        <v>-7.48437982658759</v>
      </c>
      <c r="P80">
        <f t="shared" si="2"/>
        <v>-1.6354398330421502</v>
      </c>
      <c r="Q80">
        <f t="shared" si="2"/>
        <v>-2.7238521451543498</v>
      </c>
      <c r="R80">
        <f t="shared" si="2"/>
        <v>-3.8263142786194599</v>
      </c>
      <c r="S80">
        <f t="shared" si="2"/>
        <v>-57.014388222948014</v>
      </c>
      <c r="T80">
        <f t="shared" si="2"/>
        <v>-232.803918120535</v>
      </c>
      <c r="U80">
        <f t="shared" si="2"/>
        <v>-25.081583856728003</v>
      </c>
      <c r="V80">
        <f t="shared" si="2"/>
        <v>-25.081583860961018</v>
      </c>
      <c r="W80">
        <f t="shared" si="2"/>
        <v>-1.831300761551947</v>
      </c>
      <c r="X80">
        <f t="shared" ref="X80:AA85" si="3">X66-X73</f>
        <v>0</v>
      </c>
      <c r="Y80">
        <f t="shared" si="3"/>
        <v>0</v>
      </c>
      <c r="Z80">
        <f t="shared" si="3"/>
        <v>-1.4880574254579588</v>
      </c>
      <c r="AA80">
        <f t="shared" si="3"/>
        <v>-0.34324333609399016</v>
      </c>
    </row>
    <row r="81" spans="11:27">
      <c r="K81">
        <f t="shared" ref="K81:W81" si="4">K67-K74</f>
        <v>1.48154273712281</v>
      </c>
      <c r="L81">
        <f t="shared" si="4"/>
        <v>0.59080570963632806</v>
      </c>
      <c r="M81">
        <f t="shared" si="4"/>
        <v>0.98823315612794005</v>
      </c>
      <c r="N81">
        <f t="shared" si="4"/>
        <v>0.41919719154848112</v>
      </c>
      <c r="O81">
        <f t="shared" si="4"/>
        <v>-1.0880712363405403</v>
      </c>
      <c r="P81">
        <f t="shared" si="4"/>
        <v>-11.919296862583749</v>
      </c>
      <c r="Q81">
        <f t="shared" si="4"/>
        <v>-0.4455017363179099</v>
      </c>
      <c r="R81">
        <f t="shared" si="4"/>
        <v>-1.84015029595116</v>
      </c>
      <c r="S81">
        <f t="shared" si="4"/>
        <v>-52.946255999112964</v>
      </c>
      <c r="T81">
        <f t="shared" si="4"/>
        <v>-52.737374597821997</v>
      </c>
      <c r="U81">
        <f t="shared" si="4"/>
        <v>-31.838935812936029</v>
      </c>
      <c r="V81">
        <f t="shared" si="4"/>
        <v>-31.838935840845011</v>
      </c>
      <c r="W81">
        <f t="shared" si="4"/>
        <v>1.1070420457968728</v>
      </c>
      <c r="X81">
        <f t="shared" si="3"/>
        <v>0</v>
      </c>
      <c r="Y81">
        <f t="shared" si="3"/>
        <v>0</v>
      </c>
      <c r="Z81">
        <f t="shared" si="3"/>
        <v>-0.10208832608776008</v>
      </c>
      <c r="AA81">
        <f t="shared" si="3"/>
        <v>1.2091303718846398</v>
      </c>
    </row>
    <row r="82" spans="11:27">
      <c r="K82">
        <f t="shared" ref="K82:W82" si="5">K68-K75</f>
        <v>4.120711741221128</v>
      </c>
      <c r="L82">
        <f t="shared" si="5"/>
        <v>2.146701984612692</v>
      </c>
      <c r="M82">
        <f t="shared" si="5"/>
        <v>3.76327242320908</v>
      </c>
      <c r="N82">
        <f t="shared" si="5"/>
        <v>1.9331182718162538</v>
      </c>
      <c r="O82">
        <f t="shared" si="5"/>
        <v>-2.3356704309623999</v>
      </c>
      <c r="P82">
        <f t="shared" si="5"/>
        <v>13.01924480109199</v>
      </c>
      <c r="Q82">
        <f t="shared" si="5"/>
        <v>-1.0540942798161601</v>
      </c>
      <c r="R82">
        <f t="shared" si="5"/>
        <v>-4.5940819389017298</v>
      </c>
      <c r="S82">
        <f t="shared" si="5"/>
        <v>-61.827859707233017</v>
      </c>
      <c r="T82">
        <f t="shared" si="5"/>
        <v>-234.66676021312799</v>
      </c>
      <c r="U82">
        <f t="shared" si="5"/>
        <v>-24.131177868639043</v>
      </c>
      <c r="V82">
        <f t="shared" si="5"/>
        <v>-24.131177844196031</v>
      </c>
      <c r="W82">
        <f t="shared" si="5"/>
        <v>3.4825538436918491</v>
      </c>
      <c r="X82">
        <f t="shared" si="3"/>
        <v>0</v>
      </c>
      <c r="Y82">
        <f t="shared" si="3"/>
        <v>0</v>
      </c>
      <c r="Z82">
        <f t="shared" si="3"/>
        <v>-2.8885386121690102</v>
      </c>
      <c r="AA82">
        <f t="shared" si="3"/>
        <v>6.3710924558608593</v>
      </c>
    </row>
    <row r="83" spans="11:27">
      <c r="K83">
        <f t="shared" ref="K83:W83" si="6">K69-K76</f>
        <v>-1.5360692627744252</v>
      </c>
      <c r="L83">
        <f t="shared" si="6"/>
        <v>-1.2938706425974191</v>
      </c>
      <c r="M83">
        <f t="shared" si="6"/>
        <v>-1.65829027019857</v>
      </c>
      <c r="N83">
        <f t="shared" si="6"/>
        <v>-1.014563097434404</v>
      </c>
      <c r="O83">
        <f t="shared" si="6"/>
        <v>0.64966921141295009</v>
      </c>
      <c r="P83">
        <f t="shared" si="6"/>
        <v>-29.938847826173291</v>
      </c>
      <c r="Q83">
        <f t="shared" si="6"/>
        <v>0.50892203986339002</v>
      </c>
      <c r="R83">
        <f t="shared" si="6"/>
        <v>2.6063169808124602</v>
      </c>
      <c r="S83">
        <f t="shared" si="6"/>
        <v>-46.117891239537016</v>
      </c>
      <c r="T83">
        <f t="shared" si="6"/>
        <v>-50.776957273961045</v>
      </c>
      <c r="U83">
        <f t="shared" si="6"/>
        <v>-39.095927251956994</v>
      </c>
      <c r="V83">
        <f t="shared" si="6"/>
        <v>-39.095927217891983</v>
      </c>
      <c r="W83">
        <f t="shared" si="6"/>
        <v>-2.2535996567620828</v>
      </c>
      <c r="X83">
        <f t="shared" si="3"/>
        <v>0</v>
      </c>
      <c r="Y83">
        <f t="shared" si="3"/>
        <v>0</v>
      </c>
      <c r="Z83">
        <f t="shared" si="3"/>
        <v>7.2996185977288208</v>
      </c>
      <c r="AA83">
        <f t="shared" si="3"/>
        <v>-9.5532182544909112</v>
      </c>
    </row>
    <row r="84" spans="11:27">
      <c r="K84">
        <f t="shared" ref="K84:W84" si="7">K70-K77</f>
        <v>0.69813223011958003</v>
      </c>
      <c r="L84">
        <f t="shared" si="7"/>
        <v>0.11687642883800298</v>
      </c>
      <c r="M84">
        <f t="shared" si="7"/>
        <v>0.25870101515774024</v>
      </c>
      <c r="N84">
        <f t="shared" si="7"/>
        <v>8.4279590418029016E-2</v>
      </c>
      <c r="O84">
        <f t="shared" si="7"/>
        <v>-0.47070734797355973</v>
      </c>
      <c r="P84">
        <f t="shared" si="7"/>
        <v>-1.4068510105757301</v>
      </c>
      <c r="Q84">
        <f t="shared" si="7"/>
        <v>-0.11968360717721005</v>
      </c>
      <c r="R84">
        <f t="shared" si="7"/>
        <v>-0.32401807442370956</v>
      </c>
      <c r="S84">
        <f t="shared" si="7"/>
        <v>-50.002340404599011</v>
      </c>
      <c r="T84">
        <f t="shared" si="7"/>
        <v>-50.046787891717997</v>
      </c>
      <c r="U84">
        <f t="shared" si="7"/>
        <v>-37.05811507661798</v>
      </c>
      <c r="V84">
        <f t="shared" si="7"/>
        <v>-37.058115072671001</v>
      </c>
      <c r="W84">
        <f t="shared" si="7"/>
        <v>0.22580646673591498</v>
      </c>
      <c r="X84">
        <f t="shared" si="3"/>
        <v>0</v>
      </c>
      <c r="Y84">
        <f t="shared" si="3"/>
        <v>0</v>
      </c>
      <c r="Z84">
        <f t="shared" si="3"/>
        <v>0.68364363141979023</v>
      </c>
      <c r="AA84">
        <f t="shared" si="3"/>
        <v>-0.45783716468388014</v>
      </c>
    </row>
    <row r="85" spans="11:27">
      <c r="K85">
        <f t="shared" ref="K85:W85" si="8">K71-K78</f>
        <v>-1.9297505422238532</v>
      </c>
      <c r="L85">
        <f t="shared" si="8"/>
        <v>0.25432549202883292</v>
      </c>
      <c r="M85">
        <f t="shared" si="8"/>
        <v>-2.0117128498307801</v>
      </c>
      <c r="N85">
        <f t="shared" si="8"/>
        <v>-0.44169579268514603</v>
      </c>
      <c r="O85">
        <f t="shared" si="8"/>
        <v>2.0998864062144396</v>
      </c>
      <c r="P85">
        <f t="shared" si="8"/>
        <v>-0.50150892914709999</v>
      </c>
      <c r="Q85">
        <f t="shared" si="8"/>
        <v>1.5053457389512697</v>
      </c>
      <c r="R85">
        <f t="shared" si="8"/>
        <v>2.0718961127210198</v>
      </c>
      <c r="S85">
        <f t="shared" si="8"/>
        <v>-46.08061647803703</v>
      </c>
      <c r="T85">
        <f t="shared" si="8"/>
        <v>127.03454410610397</v>
      </c>
      <c r="U85">
        <f t="shared" si="8"/>
        <v>-41.179366882002967</v>
      </c>
      <c r="V85">
        <f t="shared" si="8"/>
        <v>-41.179366886372009</v>
      </c>
      <c r="W85">
        <f t="shared" si="8"/>
        <v>1.92052710374363</v>
      </c>
      <c r="X85">
        <f t="shared" si="3"/>
        <v>0</v>
      </c>
      <c r="Y85">
        <f t="shared" si="3"/>
        <v>0</v>
      </c>
      <c r="Z85">
        <f t="shared" si="3"/>
        <v>2.4163170727357999</v>
      </c>
      <c r="AA85">
        <f t="shared" si="3"/>
        <v>-0.49578996899216987</v>
      </c>
    </row>
  </sheetData>
  <mergeCells count="13">
    <mergeCell ref="U4:V4"/>
    <mergeCell ref="K20:P20"/>
    <mergeCell ref="T19:U19"/>
    <mergeCell ref="AB1:AC1"/>
    <mergeCell ref="S3:T3"/>
    <mergeCell ref="U3:V3"/>
    <mergeCell ref="Q4:R4"/>
    <mergeCell ref="S4:T4"/>
    <mergeCell ref="G4:H4"/>
    <mergeCell ref="I4:J4"/>
    <mergeCell ref="K4:L4"/>
    <mergeCell ref="M4:N4"/>
    <mergeCell ref="O4:P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84A6-3054-BC42-9C55-98C2892A1A61}">
  <dimension ref="A1"/>
  <sheetViews>
    <sheetView workbookViewId="0"/>
  </sheetViews>
  <sheetFormatPr baseColWidth="10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24</vt:i4>
      </vt:variant>
    </vt:vector>
  </HeadingPairs>
  <TitlesOfParts>
    <vt:vector size="28" baseType="lpstr">
      <vt:lpstr>RF=0 and 10</vt:lpstr>
      <vt:lpstr>RF=0</vt:lpstr>
      <vt:lpstr>RF=10</vt:lpstr>
      <vt:lpstr>Sheet2</vt:lpstr>
      <vt:lpstr>'RF=0 and 10'!alpha1</vt:lpstr>
      <vt:lpstr>'RF=10'!alpha1</vt:lpstr>
      <vt:lpstr>alpha1</vt:lpstr>
      <vt:lpstr>'RF=0 and 10'!alpha2</vt:lpstr>
      <vt:lpstr>'RF=10'!alpha2</vt:lpstr>
      <vt:lpstr>alpha2</vt:lpstr>
      <vt:lpstr>'RF=0 and 10'!pick1</vt:lpstr>
      <vt:lpstr>'RF=10'!pick1</vt:lpstr>
      <vt:lpstr>pick1</vt:lpstr>
      <vt:lpstr>'RF=0 and 10'!pick2</vt:lpstr>
      <vt:lpstr>'RF=10'!pick2</vt:lpstr>
      <vt:lpstr>pick2</vt:lpstr>
      <vt:lpstr>'RF=0 and 10'!pick3</vt:lpstr>
      <vt:lpstr>'RF=10'!pick3</vt:lpstr>
      <vt:lpstr>pick3</vt:lpstr>
      <vt:lpstr>'RF=0 and 10'!pick4</vt:lpstr>
      <vt:lpstr>'RF=10'!pick4</vt:lpstr>
      <vt:lpstr>pick4</vt:lpstr>
      <vt:lpstr>'RF=0 and 10'!pick5</vt:lpstr>
      <vt:lpstr>'RF=10'!pick5</vt:lpstr>
      <vt:lpstr>pick5</vt:lpstr>
      <vt:lpstr>'RF=0 and 10'!pick6</vt:lpstr>
      <vt:lpstr>'RF=10'!pick6</vt:lpstr>
      <vt:lpstr>pick6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Manuel De oliveira de jesus</cp:lastModifiedBy>
  <dcterms:created xsi:type="dcterms:W3CDTF">2022-09-03T21:34:34Z</dcterms:created>
  <dcterms:modified xsi:type="dcterms:W3CDTF">2026-07-09T14:08:54Z</dcterms:modified>
</cp:coreProperties>
</file>